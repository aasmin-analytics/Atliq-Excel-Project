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hidePivotFieldList="1" refreshAllConnections="1"/>
  <mc:AlternateContent xmlns:mc="http://schemas.openxmlformats.org/markup-compatibility/2006">
    <mc:Choice Requires="x15">
      <x15ac:absPath xmlns:x15ac="http://schemas.microsoft.com/office/spreadsheetml/2010/11/ac" url="C:\excel report\"/>
    </mc:Choice>
  </mc:AlternateContent>
  <xr:revisionPtr revIDLastSave="0" documentId="8_{CC2E4523-0839-4CF9-8BF3-F996AC52C6A3}" xr6:coauthVersionLast="47" xr6:coauthVersionMax="47" xr10:uidLastSave="{00000000-0000-0000-0000-000000000000}"/>
  <bookViews>
    <workbookView xWindow="-108" yWindow="-108" windowWidth="23256" windowHeight="12456" xr2:uid="{30CA8968-041F-44F2-9B20-462AEA91CC56}"/>
  </bookViews>
  <sheets>
    <sheet name="P &amp; L Month" sheetId="1" r:id="rId1"/>
  </sheets>
  <calcPr calcId="191029"/>
  <pivotCaches>
    <pivotCache cacheId="39" r:id="rId2"/>
    <pivotCache cacheId="42" r:id="rId3"/>
    <pivotCache cacheId="45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_customer-542bb27c-d849-49b2-ab83-11771e0ac950" name="dim_customer" connection="Query - dim_customer"/>
          <x15:modelTable id="dim_date-69229614-58ad-4e17-b32b-861b6d178add" name="dim_date" connection="Query - dim_date"/>
          <x15:modelTable id="dim_market-c69b312e-8c1a-41ca-970e-7ff9051d97d2" name="dim_market" connection="Query - dim_market"/>
          <x15:modelTable id="dim_product-298f60f6-aa63-4ad5-8090-442857b45f01" name="dim_product" connection="Query - dim_product"/>
          <x15:modelTable id="fact_sales_monthly-6fc10b14-94f1-43d5-998c-96401498edf1" name="fact_sales_monthly" connection="Query - fact_sales_monthly"/>
        </x15:modelTables>
        <x15:modelRelationships>
          <x15:modelRelationship fromTable="dim_customer" fromColumn="market" toTable="dim_market" toColumn="market"/>
          <x15:modelRelationship fromTable="fact_sales_monthly" fromColumn="customer_code" toTable="dim_customer" toColumn="customer_code"/>
          <x15:modelRelationship fromTable="fact_sales_monthly" fromColumn="product_code" toTable="dim_product" toColumn="product_code"/>
          <x15:modelRelationship fromTable="fact_sales_monthly" fromColumn="date" toTable="dim_date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33" i="1" l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F50" i="1"/>
  <c r="F49" i="1"/>
  <c r="F35" i="1"/>
  <c r="F34" i="1"/>
  <c r="F33" i="1"/>
  <c r="F19" i="1"/>
  <c r="F18" i="1"/>
  <c r="F1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2FD661-DC57-498D-B86B-FCD37EF48D9A}" name="Query - dim_customer" description="Connection to the 'dim_customer' query in the workbook." type="100" refreshedVersion="8" minRefreshableVersion="5">
    <extLst>
      <ext xmlns:x15="http://schemas.microsoft.com/office/spreadsheetml/2010/11/main" uri="{DE250136-89BD-433C-8126-D09CA5730AF9}">
        <x15:connection id="7d61f5ca-bf35-476c-9d44-33691b3cab3f">
          <x15:oledbPr connection="Provider=Microsoft.Mashup.OleDb.1;Data Source=$Workbook$;Location=dim_customer;Extended Properties=&quot;&quot;">
            <x15:dbTables>
              <x15:dbTable name="dim_customer"/>
            </x15:dbTables>
          </x15:oledbPr>
        </x15:connection>
      </ext>
    </extLst>
  </connection>
  <connection id="2" xr16:uid="{10331616-52BF-48CA-B703-446278ABD693}" name="Query - dim_date" description="Connection to the 'dim_date' query in the workbook." type="100" refreshedVersion="8" minRefreshableVersion="5">
    <extLst>
      <ext xmlns:x15="http://schemas.microsoft.com/office/spreadsheetml/2010/11/main" uri="{DE250136-89BD-433C-8126-D09CA5730AF9}">
        <x15:connection id="ffb73daf-e530-46bb-b799-c80d7dba5853">
          <x15:oledbPr connection="Provider=Microsoft.Mashup.OleDb.1;Data Source=$Workbook$;Location=dim_date;Extended Properties=&quot;&quot;">
            <x15:dbTables>
              <x15:dbTable name="dim_date"/>
            </x15:dbTables>
          </x15:oledbPr>
        </x15:connection>
      </ext>
    </extLst>
  </connection>
  <connection id="3" xr16:uid="{1B802DA3-F367-416E-AB6D-2D9D433E0883}" name="Query - dim_market" description="Connection to the 'dim_market' query in the workbook." type="100" refreshedVersion="8" minRefreshableVersion="5">
    <extLst>
      <ext xmlns:x15="http://schemas.microsoft.com/office/spreadsheetml/2010/11/main" uri="{DE250136-89BD-433C-8126-D09CA5730AF9}">
        <x15:connection id="c3d2da7c-bd68-4976-b567-62f0ce508bb3">
          <x15:oledbPr connection="Provider=Microsoft.Mashup.OleDb.1;Data Source=$Workbook$;Location=dim_market;Extended Properties=&quot;&quot;">
            <x15:dbTables>
              <x15:dbTable name="dim_market"/>
            </x15:dbTables>
          </x15:oledbPr>
        </x15:connection>
      </ext>
    </extLst>
  </connection>
  <connection id="4" xr16:uid="{7BD2D8D7-1E77-427C-BA55-D472F3162A69}" name="Query - dim_product" description="Connection to the 'dim_product' query in the workbook." type="100" refreshedVersion="8" minRefreshableVersion="5">
    <extLst>
      <ext xmlns:x15="http://schemas.microsoft.com/office/spreadsheetml/2010/11/main" uri="{DE250136-89BD-433C-8126-D09CA5730AF9}">
        <x15:connection id="c3f6afb5-0fa4-4ffb-b991-9e77d08990c9">
          <x15:oledbPr connection="Provider=Microsoft.Mashup.OleDb.1;Data Source=$Workbook$;Location=dim_product;Extended Properties=&quot;&quot;">
            <x15:dbTables>
              <x15:dbTable name="dim_product"/>
            </x15:dbTables>
          </x15:oledbPr>
        </x15:connection>
      </ext>
    </extLst>
  </connection>
  <connection id="5" xr16:uid="{FAB1DD0E-C81E-49E5-959C-7C0C176FD032}" name="Query - fact_sales_monthly" description="Connection to the 'fact_sales_monthly' query in the workbook." type="100" refreshedVersion="8" minRefreshableVersion="5">
    <extLst>
      <ext xmlns:x15="http://schemas.microsoft.com/office/spreadsheetml/2010/11/main" uri="{DE250136-89BD-433C-8126-D09CA5730AF9}">
        <x15:connection id="c5138d79-62fd-4c41-b748-7a9e9dddaa37">
          <x15:oledbPr connection="Provider=Microsoft.Mashup.OleDb.1;Data Source=$Workbook$;Location=fact_sales_monthly;Extended Properties=&quot;&quot;">
            <x15:dbTables>
              <x15:dbTable name="fact_sales_monthly"/>
            </x15:dbTables>
          </x15:oledbPr>
        </x15:connection>
      </ext>
    </extLst>
  </connection>
  <connection id="6" xr16:uid="{51073E9A-62A5-4400-8D5A-93B480B6D0BD}" keepAlive="1" name="Query - finance ref" description="Connection to the 'finance ref' query in the workbook." type="5" refreshedVersion="0" background="1">
    <dbPr connection="Provider=Microsoft.Mashup.OleDb.1;Data Source=$Workbook$;Location=&quot;finance ref&quot;;Extended Properties=&quot;&quot;" command="SELECT * FROM [finance ref]"/>
  </connection>
  <connection id="7" xr16:uid="{9D47555D-DA35-47EA-AA25-C4CAD370A3C8}" keepAlive="1" name="Query - Sales ref" description="Connection to the 'Sales ref' query in the workbook." type="5" refreshedVersion="0" background="1">
    <dbPr connection="Provider=Microsoft.Mashup.OleDb.1;Data Source=$Workbook$;Location=&quot;Sales ref&quot;;Extended Properties=&quot;&quot;" command="SELECT * FROM [Sales ref]"/>
  </connection>
  <connection id="8" xr16:uid="{521651A4-0DF9-44C5-80BE-C47A935B59C5}" keepAlive="1" name="Query - Sales ref (2)" description="Connection to the 'Sales ref (2)' query in the workbook." type="5" refreshedVersion="0" background="1">
    <dbPr connection="Provider=Microsoft.Mashup.OleDb.1;Data Source=$Workbook$;Location=&quot;Sales ref (2)&quot;;Extended Properties=&quot;&quot;" command="SELECT * FROM [Sales ref (2)]"/>
  </connection>
  <connection id="9" xr16:uid="{EE76C53F-A4FA-46E4-8E5F-7DB26E769434}" keepAlive="1" name="Query - Sales ref (3)" description="Connection to the 'Sales ref (3)' query in the workbook." type="5" refreshedVersion="0" background="1">
    <dbPr connection="Provider=Microsoft.Mashup.OleDb.1;Data Source=$Workbook$;Location=&quot;Sales ref (3)&quot;;Extended Properties=&quot;&quot;" command="SELECT * FROM [Sales ref (3)]"/>
  </connection>
  <connection id="10" xr16:uid="{5DA464FB-B591-4858-AAC7-3CF679A4B23D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ThisWorkbookDataModel"/>
    <s v="{[dim_market].[region].[All]}"/>
    <s v="{[dim_market].[market].[All]}"/>
    <s v="{[dim_product].[division].[All]}"/>
    <s v="{[dim_customer].[customer].[All]}"/>
    <s v="{[dim_date].[FY].&amp;[2019]}"/>
    <s v="{[dim_date].[FY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<sst xmlns="http://schemas.openxmlformats.org/spreadsheetml/2006/main" count="75" uniqueCount="34">
  <si>
    <t>FILTERS</t>
  </si>
  <si>
    <t>region</t>
  </si>
  <si>
    <t>All</t>
  </si>
  <si>
    <t>market</t>
  </si>
  <si>
    <t>P &amp; L Months</t>
  </si>
  <si>
    <t>division</t>
  </si>
  <si>
    <t>Performance</t>
  </si>
  <si>
    <t>customer</t>
  </si>
  <si>
    <t>All are in USD</t>
  </si>
  <si>
    <t>FY</t>
  </si>
  <si>
    <t>2019</t>
  </si>
  <si>
    <t>Quarter</t>
  </si>
  <si>
    <t>Grand Total</t>
  </si>
  <si>
    <t>Metrics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</si>
  <si>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</si>
  <si>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</si>
  <si>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</si>
  <si>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</si>
  <si>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</si>
  <si>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</si>
  <si>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</si>
  <si>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</si>
  <si>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</si>
  <si>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</si>
  <si>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</si>
  <si>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</si>
  <si>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Net sale</t>
  </si>
  <si>
    <t>COGS</t>
  </si>
  <si>
    <t>Gross margin</t>
  </si>
  <si>
    <t>GM %</t>
  </si>
  <si>
    <t>P &amp; L</t>
  </si>
  <si>
    <t>21 vs 20</t>
  </si>
  <si>
    <t>20 vs 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</si>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</sst>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,,&quot;M&quot;"/>
    <numFmt numFmtId="165" formatCode="0.0%;\-0.0%;0.0%"/>
    <numFmt numFmtId="166" formatCode="0.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5" tint="-0.249977111117893"/>
      <name val="Alveri"/>
    </font>
    <font>
      <sz val="11"/>
      <color theme="1"/>
      <name val="Alveri next LT pro"/>
    </font>
    <font>
      <b/>
      <sz val="11"/>
      <color theme="1"/>
      <name val="Alve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3" fillId="0" borderId="0" xfId="0" applyFont="1"/>
    <xf numFmtId="0" fontId="4" fillId="0" borderId="0" xfId="0" applyFont="1"/>
    <xf numFmtId="0" fontId="2" fillId="0" borderId="0" xfId="0" applyFont="1"/>
    <xf numFmtId="164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/>
    <xf numFmtId="166" fontId="5" fillId="0" borderId="0" xfId="1" applyNumberFormat="1" applyFont="1" applyBorder="1"/>
    <xf numFmtId="9" fontId="5" fillId="0" borderId="0" xfId="1" applyFont="1" applyBorder="1"/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9" fontId="0" fillId="0" borderId="0" xfId="1" applyFont="1"/>
    <xf numFmtId="0" fontId="0" fillId="0" borderId="0" xfId="0" pivotButton="1"/>
    <xf numFmtId="0" fontId="2" fillId="0" borderId="0" xfId="0" pivotButton="1" applyFont="1"/>
  </cellXfs>
  <cellStyles count="2">
    <cellStyle name="Normal" xfId="0" builtinId="0"/>
    <cellStyle name="Percent" xfId="1" builtinId="5"/>
  </cellStyles>
  <dxfs count="41">
    <dxf>
      <numFmt numFmtId="164" formatCode="0.0,,&quot;M&quot;"/>
    </dxf>
    <dxf>
      <numFmt numFmtId="165" formatCode="0.0%;\-0.0%;0.0%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0.0,,&quot;M&quot;"/>
    </dxf>
    <dxf>
      <numFmt numFmtId="165" formatCode="0.0%;\-0.0%;0.0%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0.0,,&quot;M&quot;"/>
    </dxf>
    <dxf>
      <numFmt numFmtId="165" formatCode="0.0%;\-0.0%;0.0%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0.0,,&quot;M&quot;"/>
    </dxf>
    <dxf>
      <numFmt numFmtId="164" formatCode="0.0,,&quot;M&quot;"/>
    </dxf>
    <dxf>
      <numFmt numFmtId="165" formatCode="0.0%;\-0.0%;0.0%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0.0,,&quot;M&quot;"/>
    </dxf>
    <dxf>
      <numFmt numFmtId="164" formatCode="0.0,,&quot;M&quot;"/>
    </dxf>
    <dxf>
      <numFmt numFmtId="165" formatCode="0.0%;\-0.0%;0.0%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0.0,,&quot;M&quot;"/>
    </dxf>
    <dxf>
      <numFmt numFmtId="165" formatCode="0.0%;\-0.0%;0.0%"/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/>
        <right/>
        <top/>
        <bottom style="thin">
          <color auto="1"/>
        </bottom>
        <vertical/>
        <horizontal/>
      </border>
    </dxf>
    <dxf>
      <border>
        <left/>
        <right/>
        <top/>
        <bottom style="thin">
          <color auto="1"/>
        </bottom>
        <vertical/>
        <horizontal/>
      </border>
    </dxf>
    <dxf>
      <border>
        <left/>
        <right/>
        <top/>
        <bottom style="thin">
          <color auto="1"/>
        </bottom>
        <vertical/>
        <horizontal/>
      </border>
    </dxf>
  </dxfs>
  <tableStyles count="2" defaultTableStyle="TableStyleMedium2" defaultPivotStyle="PivotStyleLight16">
    <tableStyle name="AtliQ" table="0" count="3" xr9:uid="{54C32F7E-C5C4-475B-A844-C2C88156757A}">
      <tableStyleElement type="headerRow" dxfId="40"/>
      <tableStyleElement type="pageFieldLabels" dxfId="39"/>
      <tableStyleElement type="pageFieldValues" dxfId="38"/>
    </tableStyle>
    <tableStyle name="Invisible" pivot="0" table="0" count="0" xr9:uid="{E81CBFD8-99EA-4DDC-B1BE-CE593B69B38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2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3.xml"/><Relationship Id="rId9" Type="http://schemas.openxmlformats.org/officeDocument/2006/relationships/sheetMetadata" Target="metadata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asmin khatoon" refreshedDate="46283.927900000002" backgroundQuery="1" createdVersion="8" refreshedVersion="8" minRefreshableVersion="3" recordCount="0" supportSubquery="1" supportAdvancedDrill="1" xr:uid="{4A987A3C-21E6-461F-8680-44D876029C48}">
  <cacheSource type="external" connectionId="10"/>
  <cacheFields count="11">
    <cacheField name="[Measures].[Net sale]" caption="Net sale" numFmtId="0" hierarchy="29" level="32767"/>
    <cacheField name="[Measures].[COGS]" caption="COGS" numFmtId="0" hierarchy="35" level="32767"/>
    <cacheField name="[Measures].[Gross margin]" caption="Gross margin" numFmtId="0" hierarchy="36" level="32767"/>
    <cacheField name="[Measures].[GM %]" caption="GM %" numFmtId="0" hierarchy="37" level="32767"/>
    <cacheField name="[dim_date].[mmm].[mmm]" caption="mmm" numFmtId="0" hierarchy="8" level="1">
      <sharedItems count="12">
        <s v="Sep"/>
        <s v="Oct"/>
        <s v="Nov"/>
        <s v="Dec"/>
        <s v="Jan"/>
        <s v="Feb"/>
        <s v="Mar"/>
        <s v="Apr"/>
        <s v="May"/>
        <s v="Jun"/>
        <s v="Jul"/>
        <s v="Aug"/>
      </sharedItems>
    </cacheField>
    <cacheField name="[dim_market].[region].[region]" caption="region" numFmtId="0" hierarchy="14" level="1">
      <sharedItems containsSemiMixedTypes="0" containsNonDate="0" containsString="0"/>
    </cacheField>
    <cacheField name="[dim_product].[division].[division]" caption="division" numFmtId="0" hierarchy="16" level="1">
      <sharedItems containsSemiMixedTypes="0" containsNonDate="0" containsString="0"/>
    </cacheField>
    <cacheField name="[dim_market].[market].[market]" caption="market" numFmtId="0" hierarchy="12" level="1">
      <sharedItems containsSemiMixedTypes="0" containsNonDate="0" containsString="0"/>
    </cacheField>
    <cacheField name="[dim_date].[FY].[FY]" caption="FY" numFmtId="0" hierarchy="7" level="1">
      <sharedItems containsSemiMixedTypes="0" containsNonDate="0" containsString="0"/>
    </cacheField>
    <cacheField name="[dim_customer].[customer].[customer]" caption="customer" numFmtId="0" hierarchy="1" level="1">
      <sharedItems containsSemiMixedTypes="0" containsNonDate="0" containsString="0"/>
    </cacheField>
    <cacheField name="[dim_date].[Quarter].[Quarter]" caption="Quarter" numFmtId="0" hierarchy="11" level="1">
      <sharedItems containsSemiMixedTypes="0" containsString="0" containsNumber="1" containsInteger="1" minValue="1" maxValue="4" count="4">
        <n v="1"/>
        <n v="2"/>
        <n v="3"/>
        <n v="4"/>
      </sharedItems>
    </cacheField>
  </cacheFields>
  <cacheHierarchies count="46">
    <cacheHierarchy uniqueName="[dim_customer].[customer_code]" caption="customer_code" attribute="1" defaultMemberUniqueName="[dim_customer].[customer_code].[All]" allUniqueName="[dim_customer].[customer_code].[All]" dimensionUniqueName="[dim_customer]" displayFolder="" count="0" memberValueDatatype="20" unbalanced="0"/>
    <cacheHierarchy uniqueName="[dim_customer].[customer]" caption="customer" attribute="1" defaultMemberUniqueName="[dim_customer].[customer].[All]" allUniqueName="[dim_customer].[customer].[All]" dimensionUniqueName="[dim_customer]" displayFolder="" count="2" memberValueDatatype="130" unbalanced="0">
      <fieldsUsage count="2">
        <fieldUsage x="-1"/>
        <fieldUsage x="9"/>
      </fieldsUsage>
    </cacheHierarchy>
    <cacheHierarchy uniqueName="[dim_customer].[market]" caption="market" attribute="1" defaultMemberUniqueName="[dim_customer].[market].[All]" allUniqueName="[dim_customer].[market].[All]" dimensionUniqueName="[dim_customer]" displayFolder="" count="0" memberValueDatatype="130" unbalanced="0"/>
    <cacheHierarchy uniqueName="[dim_customer].[platform]" caption="platform" attribute="1" defaultMemberUniqueName="[dim_customer].[platform].[All]" allUniqueName="[dim_customer].[platform].[All]" dimensionUniqueName="[dim_customer]" displayFolder="" count="0" memberValueDatatype="130" unbalanced="0"/>
    <cacheHierarchy uniqueName="[dim_customer].[channel]" caption="channel" attribute="1" defaultMemberUniqueName="[dim_customer].[channel].[All]" allUniqueName="[dim_customer].[channel].[All]" dimensionUniqueName="[dim_customer]" displayFolder="" count="0" memberValueDatatype="13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months]" caption="months" attribute="1" time="1" defaultMemberUniqueName="[dim_date].[months].[All]" allUniqueName="[dim_date].[months].[All]" dimensionUniqueName="[dim_date]" displayFolder="" count="0" memberValueDatatype="7" unbalanced="0"/>
    <cacheHierarchy uniqueName="[dim_date].[FY]" caption="FY" attribute="1" defaultMemberUniqueName="[dim_date].[FY].[All]" allUniqueName="[dim_date].[FY].[All]" dimensionUniqueName="[dim_date]" displayFolder="" count="2" memberValueDatatype="130" unbalanced="0">
      <fieldsUsage count="2">
        <fieldUsage x="-1"/>
        <fieldUsage x="8"/>
      </fieldsUsage>
    </cacheHierarchy>
    <cacheHierarchy uniqueName="[dim_date].[mmm]" caption="mmm" attribute="1" defaultMemberUniqueName="[dim_date].[mmm].[All]" allUniqueName="[dim_date].[mmm].[All]" dimensionUniqueName="[dim_date]" displayFolder="" count="2" memberValueDatatype="130" unbalanced="0">
      <fieldsUsage count="2">
        <fieldUsage x="-1"/>
        <fieldUsage x="4"/>
      </fieldsUsage>
    </cacheHierarchy>
    <cacheHierarchy uniqueName="[dim_date].[month no.]" caption="month no." attribute="1" defaultMemberUniqueName="[dim_date].[month no.].[All]" allUniqueName="[dim_date].[month no.].[All]" dimensionUniqueName="[dim_date]" displayFolder="" count="0" memberValueDatatype="20" unbalanced="0"/>
    <cacheHierarchy uniqueName="[dim_date].[fiscal month]" caption="fiscal month" attribute="1" defaultMemberUniqueName="[dim_date].[fiscal month].[All]" allUniqueName="[dim_date].[fiscal month].[All]" dimensionUniqueName="[dim_date]" displayFolder="" count="0" memberValueDatatype="20" unbalanced="0"/>
    <cacheHierarchy uniqueName="[dim_date].[Quarter]" caption="Quarter" attribute="1" defaultMemberUniqueName="[dim_date].[Quarter].[All]" allUniqueName="[dim_date].[Quarter].[All]" dimensionUniqueName="[dim_date]" displayFolder="" count="2" memberValueDatatype="5" unbalanced="0">
      <fieldsUsage count="2">
        <fieldUsage x="-1"/>
        <fieldUsage x="10"/>
      </fieldsUsage>
    </cacheHierarchy>
    <cacheHierarchy uniqueName="[dim_market].[market]" caption="market" attribute="1" defaultMemberUniqueName="[dim_market].[market].[All]" allUniqueName="[dim_market].[market].[All]" dimensionUniqueName="[dim_market]" displayFolder="" count="2" memberValueDatatype="130" unbalanced="0">
      <fieldsUsage count="2">
        <fieldUsage x="-1"/>
        <fieldUsage x="7"/>
      </fieldsUsage>
    </cacheHierarchy>
    <cacheHierarchy uniqueName="[dim_market].[sub_zone]" caption="sub_zone" attribute="1" defaultMemberUniqueName="[dim_market].[sub_zone].[All]" allUniqueName="[dim_market].[sub_zone].[All]" dimensionUniqueName="[dim_market]" displayFolder="" count="0" memberValueDatatype="130" unbalanced="0"/>
    <cacheHierarchy uniqueName="[dim_market].[region]" caption="region" attribute="1" defaultMemberUniqueName="[dim_market].[region].[All]" allUniqueName="[dim_market].[region].[All]" dimensionUniqueName="[dim_market]" displayFolder="" count="2" memberValueDatatype="130" unbalanced="0">
      <fieldsUsage count="2">
        <fieldUsage x="-1"/>
        <fieldUsage x="5"/>
      </fieldsUsage>
    </cacheHierarchy>
    <cacheHierarchy uniqueName="[dim_product].[product_code]" caption="product_code" attribute="1" defaultMemberUniqueName="[dim_product].[product_code].[All]" allUniqueName="[dim_product].[product_code].[All]" dimensionUniqueName="[dim_product]" displayFolder="" count="0" memberValueDatatype="130" unbalanced="0"/>
    <cacheHierarchy uniqueName="[dim_product].[division]" caption="division" attribute="1" defaultMemberUniqueName="[dim_product].[division].[All]" allUniqueName="[dim_product].[division].[All]" dimensionUniqueName="[dim_product]" displayFolder="" count="2" memberValueDatatype="130" unbalanced="0">
      <fieldsUsage count="2">
        <fieldUsage x="-1"/>
        <fieldUsage x="6"/>
      </fieldsUsage>
    </cacheHierarchy>
    <cacheHierarchy uniqueName="[dim_product].[segment]" caption="segment" attribute="1" defaultMemberUniqueName="[dim_product].[segment].[All]" allUniqueName="[dim_product].[segment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0" memberValueDatatype="130" unbalanced="0"/>
    <cacheHierarchy uniqueName="[dim_product].[product]" caption="product" attribute="1" defaultMemberUniqueName="[dim_product].[product].[All]" allUniqueName="[dim_product].[product].[All]" dimensionUniqueName="[dim_product]" displayFolder="" count="0" memberValueDatatype="130" unbalanced="0"/>
    <cacheHierarchy uniqueName="[dim_product].[variant]" caption="variant" attribute="1" defaultMemberUniqueName="[dim_product].[variant].[All]" allUniqueName="[dim_product].[variant].[All]" dimensionUniqueName="[dim_product]" displayFolder="" count="0" memberValueDatatype="130" unbalanced="0"/>
    <cacheHierarchy uniqueName="[fact_sales_monthly].[date]" caption="date" attribute="1" time="1" defaultMemberUniqueName="[fact_sales_monthly].[date].[All]" allUniqueName="[fact_sales_monthly].[date].[All]" dimensionUniqueName="[fact_sales_monthly]" displayFolder="" count="0" memberValueDatatype="7" unbalanced="0"/>
    <cacheHierarchy uniqueName="[fact_sales_monthly].[product_code]" caption="product_code" attribute="1" defaultMemberUniqueName="[fact_sales_monthly].[product_code].[All]" allUniqueName="[fact_sales_monthly].[product_code].[All]" dimensionUniqueName="[fact_sales_monthly]" displayFolder="" count="0" memberValueDatatype="130" unbalanced="0"/>
    <cacheHierarchy uniqueName="[fact_sales_monthly].[customer_code]" caption="customer_code" attribute="1" defaultMemberUniqueName="[fact_sales_monthly].[customer_code].[All]" allUniqueName="[fact_sales_monthly].[customer_code].[All]" dimensionUniqueName="[fact_sales_monthly]" displayFolder="" count="0" memberValueDatatype="20" unbalanced="0"/>
    <cacheHierarchy uniqueName="[fact_sales_monthly].[Qty]" caption="Qty" attribute="1" defaultMemberUniqueName="[fact_sales_monthly].[Qty].[All]" allUniqueName="[fact_sales_monthly].[Qty].[All]" dimensionUniqueName="[fact_sales_monthly]" displayFolder="" count="0" memberValueDatatype="20" unbalanced="0"/>
    <cacheHierarchy uniqueName="[fact_sales_monthly].[net_sales_amount]" caption="net_sales_amount" attribute="1" defaultMemberUniqueName="[fact_sales_monthly].[net_sales_amount].[All]" allUniqueName="[fact_sales_monthly].[net_sales_amount].[All]" dimensionUniqueName="[fact_sales_monthly]" displayFolder="" count="0" memberValueDatatype="5" unbalanced="0"/>
    <cacheHierarchy uniqueName="[fact_sales_monthly].[freight_cost]" caption="freight_cost" attribute="1" defaultMemberUniqueName="[fact_sales_monthly].[freight_cost].[All]" allUniqueName="[fact_sales_monthly].[freight_cost].[All]" dimensionUniqueName="[fact_sales_monthly]" displayFolder="" count="0" memberValueDatatype="5" unbalanced="0"/>
    <cacheHierarchy uniqueName="[fact_sales_monthly].[manufacturing_cost]" caption="manufacturing_cost" attribute="1" defaultMemberUniqueName="[fact_sales_monthly].[manufacturing_cost].[All]" allUniqueName="[fact_sales_monthly].[manufacturing_cost].[All]" dimensionUniqueName="[fact_sales_monthly]" displayFolder="" count="0" memberValueDatatype="5" unbalanced="0"/>
    <cacheHierarchy uniqueName="[fact_sales_monthly].[Total COGS]" caption="Total COGS" attribute="1" defaultMemberUniqueName="[fact_sales_monthly].[Total COGS].[All]" allUniqueName="[fact_sales_monthly].[Total COGS].[All]" dimensionUniqueName="[fact_sales_monthly]" displayFolder="" count="0" memberValueDatatype="5" unbalanced="0"/>
    <cacheHierarchy uniqueName="[Measures].[Net sale]" caption="Net sale" measure="1" displayFolder="" measureGroup="fact_sales_monthly" count="0" oneField="1">
      <fieldsUsage count="1">
        <fieldUsage x="0"/>
      </fieldsUsage>
    </cacheHierarchy>
    <cacheHierarchy uniqueName="[Measures].[Net sales 19]" caption="Net sales 19" measure="1" displayFolder="" measureGroup="fact_sales_monthly" count="0"/>
    <cacheHierarchy uniqueName="[Measures].[Net sales 2020]" caption="Net sales 2020" measure="1" displayFolder="" measureGroup="fact_sales_monthly" count="0"/>
    <cacheHierarchy uniqueName="[Measures].[Net sales 21]" caption="Net sales 21" measure="1" displayFolder="" measureGroup="fact_sales_monthly" count="0"/>
    <cacheHierarchy uniqueName="[Measures].[21 vs 20]" caption="21 vs 20" measure="1" displayFolder="" measureGroup="fact_sales_monthly" count="0"/>
    <cacheHierarchy uniqueName="[Measures].[2021 vs 20]" caption="2021 vs 20" measure="1" displayFolder="" measureGroup="fact_sales_monthly" count="0"/>
    <cacheHierarchy uniqueName="[Measures].[COGS]" caption="COGS" measure="1" displayFolder="" measureGroup="fact_sales_monthly" count="0" oneField="1">
      <fieldsUsage count="1">
        <fieldUsage x="1"/>
      </fieldsUsage>
    </cacheHierarchy>
    <cacheHierarchy uniqueName="[Measures].[Gross margin]" caption="Gross margin" measure="1" displayFolder="" measureGroup="fact_sales_monthly" count="0" oneField="1">
      <fieldsUsage count="1">
        <fieldUsage x="2"/>
      </fieldsUsage>
    </cacheHierarchy>
    <cacheHierarchy uniqueName="[Measures].[GM %]" caption="GM %" measure="1" displayFolder="" measureGroup="fact_sales_monthly" count="0" oneField="1">
      <fieldsUsage count="1">
        <fieldUsage x="3"/>
      </fieldsUsage>
    </cacheHierarchy>
    <cacheHierarchy uniqueName="[Measures].[GR M %]" caption="GR M %" measure="1" displayFolder="" measureGroup="fact_sales_monthly" count="0"/>
    <cacheHierarchy uniqueName="[Measures].[__XL_Count dim_customer]" caption="__XL_Count dim_customer" measure="1" displayFolder="" measureGroup="dim_customer" count="0" hidden="1"/>
    <cacheHierarchy uniqueName="[Measures].[__XL_Count dim_date]" caption="__XL_Count dim_date" measure="1" displayFolder="" measureGroup="dim_date" count="0" hidden="1"/>
    <cacheHierarchy uniqueName="[Measures].[__XL_Count dim_market]" caption="__XL_Count dim_market" measure="1" displayFolder="" measureGroup="dim_market" count="0" hidden="1"/>
    <cacheHierarchy uniqueName="[Measures].[__XL_Count dim_product]" caption="__XL_Count dim_product" measure="1" displayFolder="" measureGroup="dim_product" count="0" hidden="1"/>
    <cacheHierarchy uniqueName="[Measures].[__XL_Count fact_sales_monthly]" caption="__XL_Count fact_sales_monthly" measure="1" displayFolder="" measureGroup="fact_sales_monthly" count="0" hidden="1"/>
    <cacheHierarchy uniqueName="[Measures].[__No measures defined]" caption="__No measures defined" measure="1" displayFolder="" count="0" hidden="1"/>
    <cacheHierarchy uniqueName="[Measures].[Sum of net_sales_amount]" caption="Sum of net_sales_amount" measure="1" displayFolder="" measureGroup="fact_sales_monthl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6">
    <dimension name="dim_customer" uniqueName="[dim_customer]" caption="dim_customer"/>
    <dimension name="dim_date" uniqueName="[dim_date]" caption="dim_date"/>
    <dimension name="dim_market" uniqueName="[dim_market]" caption="dim_market"/>
    <dimension name="dim_product" uniqueName="[dim_product]" caption="dim_product"/>
    <dimension name="fact_sales_monthly" uniqueName="[fact_sales_monthly]" caption="fact_sales_monthly"/>
    <dimension measure="1" name="Measures" uniqueName="[Measures]" caption="Measures"/>
  </dimensions>
  <measureGroups count="5">
    <measureGroup name="dim_customer" caption="dim_customer"/>
    <measureGroup name="dim_date" caption="dim_date"/>
    <measureGroup name="dim_market" caption="dim_market"/>
    <measureGroup name="dim_product" caption="dim_product"/>
    <measureGroup name="fact_sales_monthly" caption="fact_sales_monthly"/>
  </measureGroups>
  <maps count="10">
    <map measureGroup="0" dimension="0"/>
    <map measureGroup="0" dimension="2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asmin khatoon" refreshedDate="46283.927902083335" backgroundQuery="1" createdVersion="8" refreshedVersion="8" minRefreshableVersion="3" recordCount="0" supportSubquery="1" supportAdvancedDrill="1" xr:uid="{A2D0BE1A-E9CA-462D-9CCA-C8ACFD1E7D26}">
  <cacheSource type="external" connectionId="10"/>
  <cacheFields count="11">
    <cacheField name="[Measures].[Net sale]" caption="Net sale" numFmtId="0" hierarchy="29" level="32767"/>
    <cacheField name="[Measures].[COGS]" caption="COGS" numFmtId="0" hierarchy="35" level="32767"/>
    <cacheField name="[Measures].[Gross margin]" caption="Gross margin" numFmtId="0" hierarchy="36" level="32767"/>
    <cacheField name="[Measures].[GM %]" caption="GM %" numFmtId="0" hierarchy="37" level="32767"/>
    <cacheField name="[dim_date].[mmm].[mmm]" caption="mmm" numFmtId="0" hierarchy="8" level="1">
      <sharedItems count="12">
        <s v="Sep"/>
        <s v="Oct"/>
        <s v="Nov"/>
        <s v="Dec"/>
        <s v="Jan"/>
        <s v="Feb"/>
        <s v="Mar"/>
        <s v="Apr"/>
        <s v="May"/>
        <s v="Jun"/>
        <s v="Jul"/>
        <s v="Aug"/>
      </sharedItems>
    </cacheField>
    <cacheField name="[dim_market].[region].[region]" caption="region" numFmtId="0" hierarchy="14" level="1">
      <sharedItems containsSemiMixedTypes="0" containsNonDate="0" containsString="0"/>
    </cacheField>
    <cacheField name="[dim_product].[division].[division]" caption="division" numFmtId="0" hierarchy="16" level="1">
      <sharedItems containsSemiMixedTypes="0" containsNonDate="0" containsString="0"/>
    </cacheField>
    <cacheField name="[dim_market].[market].[market]" caption="market" numFmtId="0" hierarchy="12" level="1">
      <sharedItems containsSemiMixedTypes="0" containsNonDate="0" containsString="0"/>
    </cacheField>
    <cacheField name="[dim_date].[FY].[FY]" caption="FY" numFmtId="0" hierarchy="7" level="1">
      <sharedItems containsSemiMixedTypes="0" containsNonDate="0" containsString="0"/>
    </cacheField>
    <cacheField name="[dim_customer].[customer].[customer]" caption="customer" numFmtId="0" hierarchy="1" level="1">
      <sharedItems containsSemiMixedTypes="0" containsNonDate="0" containsString="0"/>
    </cacheField>
    <cacheField name="[dim_date].[Quarter].[Quarter]" caption="Quarter" numFmtId="0" hierarchy="11" level="1">
      <sharedItems containsSemiMixedTypes="0" containsString="0" containsNumber="1" containsInteger="1" minValue="1" maxValue="4" count="4">
        <n v="1"/>
        <n v="2"/>
        <n v="3"/>
        <n v="4"/>
      </sharedItems>
    </cacheField>
  </cacheFields>
  <cacheHierarchies count="46">
    <cacheHierarchy uniqueName="[dim_customer].[customer_code]" caption="customer_code" attribute="1" defaultMemberUniqueName="[dim_customer].[customer_code].[All]" allUniqueName="[dim_customer].[customer_code].[All]" dimensionUniqueName="[dim_customer]" displayFolder="" count="0" memberValueDatatype="20" unbalanced="0"/>
    <cacheHierarchy uniqueName="[dim_customer].[customer]" caption="customer" attribute="1" defaultMemberUniqueName="[dim_customer].[customer].[All]" allUniqueName="[dim_customer].[customer].[All]" dimensionUniqueName="[dim_customer]" displayFolder="" count="2" memberValueDatatype="130" unbalanced="0">
      <fieldsUsage count="2">
        <fieldUsage x="-1"/>
        <fieldUsage x="9"/>
      </fieldsUsage>
    </cacheHierarchy>
    <cacheHierarchy uniqueName="[dim_customer].[market]" caption="market" attribute="1" defaultMemberUniqueName="[dim_customer].[market].[All]" allUniqueName="[dim_customer].[market].[All]" dimensionUniqueName="[dim_customer]" displayFolder="" count="0" memberValueDatatype="130" unbalanced="0"/>
    <cacheHierarchy uniqueName="[dim_customer].[platform]" caption="platform" attribute="1" defaultMemberUniqueName="[dim_customer].[platform].[All]" allUniqueName="[dim_customer].[platform].[All]" dimensionUniqueName="[dim_customer]" displayFolder="" count="0" memberValueDatatype="130" unbalanced="0"/>
    <cacheHierarchy uniqueName="[dim_customer].[channel]" caption="channel" attribute="1" defaultMemberUniqueName="[dim_customer].[channel].[All]" allUniqueName="[dim_customer].[channel].[All]" dimensionUniqueName="[dim_customer]" displayFolder="" count="0" memberValueDatatype="13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months]" caption="months" attribute="1" time="1" defaultMemberUniqueName="[dim_date].[months].[All]" allUniqueName="[dim_date].[months].[All]" dimensionUniqueName="[dim_date]" displayFolder="" count="0" memberValueDatatype="7" unbalanced="0"/>
    <cacheHierarchy uniqueName="[dim_date].[FY]" caption="FY" attribute="1" defaultMemberUniqueName="[dim_date].[FY].[All]" allUniqueName="[dim_date].[FY].[All]" dimensionUniqueName="[dim_date]" displayFolder="" count="2" memberValueDatatype="130" unbalanced="0">
      <fieldsUsage count="2">
        <fieldUsage x="-1"/>
        <fieldUsage x="8"/>
      </fieldsUsage>
    </cacheHierarchy>
    <cacheHierarchy uniqueName="[dim_date].[mmm]" caption="mmm" attribute="1" defaultMemberUniqueName="[dim_date].[mmm].[All]" allUniqueName="[dim_date].[mmm].[All]" dimensionUniqueName="[dim_date]" displayFolder="" count="2" memberValueDatatype="130" unbalanced="0">
      <fieldsUsage count="2">
        <fieldUsage x="-1"/>
        <fieldUsage x="4"/>
      </fieldsUsage>
    </cacheHierarchy>
    <cacheHierarchy uniqueName="[dim_date].[month no.]" caption="month no." attribute="1" defaultMemberUniqueName="[dim_date].[month no.].[All]" allUniqueName="[dim_date].[month no.].[All]" dimensionUniqueName="[dim_date]" displayFolder="" count="0" memberValueDatatype="20" unbalanced="0"/>
    <cacheHierarchy uniqueName="[dim_date].[fiscal month]" caption="fiscal month" attribute="1" defaultMemberUniqueName="[dim_date].[fiscal month].[All]" allUniqueName="[dim_date].[fiscal month].[All]" dimensionUniqueName="[dim_date]" displayFolder="" count="0" memberValueDatatype="20" unbalanced="0"/>
    <cacheHierarchy uniqueName="[dim_date].[Quarter]" caption="Quarter" attribute="1" defaultMemberUniqueName="[dim_date].[Quarter].[All]" allUniqueName="[dim_date].[Quarter].[All]" dimensionUniqueName="[dim_date]" displayFolder="" count="2" memberValueDatatype="5" unbalanced="0">
      <fieldsUsage count="2">
        <fieldUsage x="-1"/>
        <fieldUsage x="10"/>
      </fieldsUsage>
    </cacheHierarchy>
    <cacheHierarchy uniqueName="[dim_market].[market]" caption="market" attribute="1" defaultMemberUniqueName="[dim_market].[market].[All]" allUniqueName="[dim_market].[market].[All]" dimensionUniqueName="[dim_market]" displayFolder="" count="2" memberValueDatatype="130" unbalanced="0">
      <fieldsUsage count="2">
        <fieldUsage x="-1"/>
        <fieldUsage x="7"/>
      </fieldsUsage>
    </cacheHierarchy>
    <cacheHierarchy uniqueName="[dim_market].[sub_zone]" caption="sub_zone" attribute="1" defaultMemberUniqueName="[dim_market].[sub_zone].[All]" allUniqueName="[dim_market].[sub_zone].[All]" dimensionUniqueName="[dim_market]" displayFolder="" count="0" memberValueDatatype="130" unbalanced="0"/>
    <cacheHierarchy uniqueName="[dim_market].[region]" caption="region" attribute="1" defaultMemberUniqueName="[dim_market].[region].[All]" allUniqueName="[dim_market].[region].[All]" dimensionUniqueName="[dim_market]" displayFolder="" count="2" memberValueDatatype="130" unbalanced="0">
      <fieldsUsage count="2">
        <fieldUsage x="-1"/>
        <fieldUsage x="5"/>
      </fieldsUsage>
    </cacheHierarchy>
    <cacheHierarchy uniqueName="[dim_product].[product_code]" caption="product_code" attribute="1" defaultMemberUniqueName="[dim_product].[product_code].[All]" allUniqueName="[dim_product].[product_code].[All]" dimensionUniqueName="[dim_product]" displayFolder="" count="0" memberValueDatatype="130" unbalanced="0"/>
    <cacheHierarchy uniqueName="[dim_product].[division]" caption="division" attribute="1" defaultMemberUniqueName="[dim_product].[division].[All]" allUniqueName="[dim_product].[division].[All]" dimensionUniqueName="[dim_product]" displayFolder="" count="2" memberValueDatatype="130" unbalanced="0">
      <fieldsUsage count="2">
        <fieldUsage x="-1"/>
        <fieldUsage x="6"/>
      </fieldsUsage>
    </cacheHierarchy>
    <cacheHierarchy uniqueName="[dim_product].[segment]" caption="segment" attribute="1" defaultMemberUniqueName="[dim_product].[segment].[All]" allUniqueName="[dim_product].[segment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0" memberValueDatatype="130" unbalanced="0"/>
    <cacheHierarchy uniqueName="[dim_product].[product]" caption="product" attribute="1" defaultMemberUniqueName="[dim_product].[product].[All]" allUniqueName="[dim_product].[product].[All]" dimensionUniqueName="[dim_product]" displayFolder="" count="0" memberValueDatatype="130" unbalanced="0"/>
    <cacheHierarchy uniqueName="[dim_product].[variant]" caption="variant" attribute="1" defaultMemberUniqueName="[dim_product].[variant].[All]" allUniqueName="[dim_product].[variant].[All]" dimensionUniqueName="[dim_product]" displayFolder="" count="0" memberValueDatatype="130" unbalanced="0"/>
    <cacheHierarchy uniqueName="[fact_sales_monthly].[date]" caption="date" attribute="1" time="1" defaultMemberUniqueName="[fact_sales_monthly].[date].[All]" allUniqueName="[fact_sales_monthly].[date].[All]" dimensionUniqueName="[fact_sales_monthly]" displayFolder="" count="0" memberValueDatatype="7" unbalanced="0"/>
    <cacheHierarchy uniqueName="[fact_sales_monthly].[product_code]" caption="product_code" attribute="1" defaultMemberUniqueName="[fact_sales_monthly].[product_code].[All]" allUniqueName="[fact_sales_monthly].[product_code].[All]" dimensionUniqueName="[fact_sales_monthly]" displayFolder="" count="0" memberValueDatatype="130" unbalanced="0"/>
    <cacheHierarchy uniqueName="[fact_sales_monthly].[customer_code]" caption="customer_code" attribute="1" defaultMemberUniqueName="[fact_sales_monthly].[customer_code].[All]" allUniqueName="[fact_sales_monthly].[customer_code].[All]" dimensionUniqueName="[fact_sales_monthly]" displayFolder="" count="0" memberValueDatatype="20" unbalanced="0"/>
    <cacheHierarchy uniqueName="[fact_sales_monthly].[Qty]" caption="Qty" attribute="1" defaultMemberUniqueName="[fact_sales_monthly].[Qty].[All]" allUniqueName="[fact_sales_monthly].[Qty].[All]" dimensionUniqueName="[fact_sales_monthly]" displayFolder="" count="0" memberValueDatatype="20" unbalanced="0"/>
    <cacheHierarchy uniqueName="[fact_sales_monthly].[net_sales_amount]" caption="net_sales_amount" attribute="1" defaultMemberUniqueName="[fact_sales_monthly].[net_sales_amount].[All]" allUniqueName="[fact_sales_monthly].[net_sales_amount].[All]" dimensionUniqueName="[fact_sales_monthly]" displayFolder="" count="0" memberValueDatatype="5" unbalanced="0"/>
    <cacheHierarchy uniqueName="[fact_sales_monthly].[freight_cost]" caption="freight_cost" attribute="1" defaultMemberUniqueName="[fact_sales_monthly].[freight_cost].[All]" allUniqueName="[fact_sales_monthly].[freight_cost].[All]" dimensionUniqueName="[fact_sales_monthly]" displayFolder="" count="0" memberValueDatatype="5" unbalanced="0"/>
    <cacheHierarchy uniqueName="[fact_sales_monthly].[manufacturing_cost]" caption="manufacturing_cost" attribute="1" defaultMemberUniqueName="[fact_sales_monthly].[manufacturing_cost].[All]" allUniqueName="[fact_sales_monthly].[manufacturing_cost].[All]" dimensionUniqueName="[fact_sales_monthly]" displayFolder="" count="0" memberValueDatatype="5" unbalanced="0"/>
    <cacheHierarchy uniqueName="[fact_sales_monthly].[Total COGS]" caption="Total COGS" attribute="1" defaultMemberUniqueName="[fact_sales_monthly].[Total COGS].[All]" allUniqueName="[fact_sales_monthly].[Total COGS].[All]" dimensionUniqueName="[fact_sales_monthly]" displayFolder="" count="0" memberValueDatatype="5" unbalanced="0"/>
    <cacheHierarchy uniqueName="[Measures].[Net sale]" caption="Net sale" measure="1" displayFolder="" measureGroup="fact_sales_monthly" count="0" oneField="1">
      <fieldsUsage count="1">
        <fieldUsage x="0"/>
      </fieldsUsage>
    </cacheHierarchy>
    <cacheHierarchy uniqueName="[Measures].[Net sales 19]" caption="Net sales 19" measure="1" displayFolder="" measureGroup="fact_sales_monthly" count="0"/>
    <cacheHierarchy uniqueName="[Measures].[Net sales 2020]" caption="Net sales 2020" measure="1" displayFolder="" measureGroup="fact_sales_monthly" count="0"/>
    <cacheHierarchy uniqueName="[Measures].[Net sales 21]" caption="Net sales 21" measure="1" displayFolder="" measureGroup="fact_sales_monthly" count="0"/>
    <cacheHierarchy uniqueName="[Measures].[21 vs 20]" caption="21 vs 20" measure="1" displayFolder="" measureGroup="fact_sales_monthly" count="0"/>
    <cacheHierarchy uniqueName="[Measures].[2021 vs 20]" caption="2021 vs 20" measure="1" displayFolder="" measureGroup="fact_sales_monthly" count="0"/>
    <cacheHierarchy uniqueName="[Measures].[COGS]" caption="COGS" measure="1" displayFolder="" measureGroup="fact_sales_monthly" count="0" oneField="1">
      <fieldsUsage count="1">
        <fieldUsage x="1"/>
      </fieldsUsage>
    </cacheHierarchy>
    <cacheHierarchy uniqueName="[Measures].[Gross margin]" caption="Gross margin" measure="1" displayFolder="" measureGroup="fact_sales_monthly" count="0" oneField="1">
      <fieldsUsage count="1">
        <fieldUsage x="2"/>
      </fieldsUsage>
    </cacheHierarchy>
    <cacheHierarchy uniqueName="[Measures].[GM %]" caption="GM %" measure="1" displayFolder="" measureGroup="fact_sales_monthly" count="0" oneField="1">
      <fieldsUsage count="1">
        <fieldUsage x="3"/>
      </fieldsUsage>
    </cacheHierarchy>
    <cacheHierarchy uniqueName="[Measures].[GR M %]" caption="GR M %" measure="1" displayFolder="" measureGroup="fact_sales_monthly" count="0"/>
    <cacheHierarchy uniqueName="[Measures].[__XL_Count dim_customer]" caption="__XL_Count dim_customer" measure="1" displayFolder="" measureGroup="dim_customer" count="0" hidden="1"/>
    <cacheHierarchy uniqueName="[Measures].[__XL_Count dim_date]" caption="__XL_Count dim_date" measure="1" displayFolder="" measureGroup="dim_date" count="0" hidden="1"/>
    <cacheHierarchy uniqueName="[Measures].[__XL_Count dim_market]" caption="__XL_Count dim_market" measure="1" displayFolder="" measureGroup="dim_market" count="0" hidden="1"/>
    <cacheHierarchy uniqueName="[Measures].[__XL_Count dim_product]" caption="__XL_Count dim_product" measure="1" displayFolder="" measureGroup="dim_product" count="0" hidden="1"/>
    <cacheHierarchy uniqueName="[Measures].[__XL_Count fact_sales_monthly]" caption="__XL_Count fact_sales_monthly" measure="1" displayFolder="" measureGroup="fact_sales_monthly" count="0" hidden="1"/>
    <cacheHierarchy uniqueName="[Measures].[__No measures defined]" caption="__No measures defined" measure="1" displayFolder="" count="0" hidden="1"/>
    <cacheHierarchy uniqueName="[Measures].[Sum of net_sales_amount]" caption="Sum of net_sales_amount" measure="1" displayFolder="" measureGroup="fact_sales_monthl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6">
    <dimension name="dim_customer" uniqueName="[dim_customer]" caption="dim_customer"/>
    <dimension name="dim_date" uniqueName="[dim_date]" caption="dim_date"/>
    <dimension name="dim_market" uniqueName="[dim_market]" caption="dim_market"/>
    <dimension name="dim_product" uniqueName="[dim_product]" caption="dim_product"/>
    <dimension name="fact_sales_monthly" uniqueName="[fact_sales_monthly]" caption="fact_sales_monthly"/>
    <dimension measure="1" name="Measures" uniqueName="[Measures]" caption="Measures"/>
  </dimensions>
  <measureGroups count="5">
    <measureGroup name="dim_customer" caption="dim_customer"/>
    <measureGroup name="dim_date" caption="dim_date"/>
    <measureGroup name="dim_market" caption="dim_market"/>
    <measureGroup name="dim_product" caption="dim_product"/>
    <measureGroup name="fact_sales_monthly" caption="fact_sales_monthly"/>
  </measureGroups>
  <maps count="10">
    <map measureGroup="0" dimension="0"/>
    <map measureGroup="0" dimension="2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asmin khatoon" refreshedDate="46283.927904166667" backgroundQuery="1" createdVersion="8" refreshedVersion="8" minRefreshableVersion="3" recordCount="0" supportSubquery="1" supportAdvancedDrill="1" xr:uid="{F34C5339-C55A-4B91-995B-2EDC1065E8B7}">
  <cacheSource type="external" connectionId="10"/>
  <cacheFields count="11">
    <cacheField name="[Measures].[Net sale]" caption="Net sale" numFmtId="0" hierarchy="29" level="32767"/>
    <cacheField name="[Measures].[COGS]" caption="COGS" numFmtId="0" hierarchy="35" level="32767"/>
    <cacheField name="[Measures].[Gross margin]" caption="Gross margin" numFmtId="0" hierarchy="36" level="32767"/>
    <cacheField name="[Measures].[GM %]" caption="GM %" numFmtId="0" hierarchy="37" level="32767"/>
    <cacheField name="[dim_date].[mmm].[mmm]" caption="mmm" numFmtId="0" hierarchy="8" level="1">
      <sharedItems count="12">
        <s v="Sep"/>
        <s v="Oct"/>
        <s v="Nov"/>
        <s v="Dec"/>
        <s v="Jan"/>
        <s v="Feb"/>
        <s v="Mar"/>
        <s v="Apr"/>
        <s v="May"/>
        <s v="Jun"/>
        <s v="Jul"/>
        <s v="Aug"/>
      </sharedItems>
    </cacheField>
    <cacheField name="[dim_market].[region].[region]" caption="region" numFmtId="0" hierarchy="14" level="1">
      <sharedItems containsSemiMixedTypes="0" containsNonDate="0" containsString="0"/>
    </cacheField>
    <cacheField name="[dim_product].[division].[division]" caption="division" numFmtId="0" hierarchy="16" level="1">
      <sharedItems containsSemiMixedTypes="0" containsNonDate="0" containsString="0"/>
    </cacheField>
    <cacheField name="[dim_market].[market].[market]" caption="market" numFmtId="0" hierarchy="12" level="1">
      <sharedItems containsSemiMixedTypes="0" containsNonDate="0" containsString="0"/>
    </cacheField>
    <cacheField name="[dim_date].[FY].[FY]" caption="FY" numFmtId="0" hierarchy="7" level="1">
      <sharedItems containsSemiMixedTypes="0" containsNonDate="0" containsString="0"/>
    </cacheField>
    <cacheField name="[dim_customer].[customer].[customer]" caption="customer" numFmtId="0" hierarchy="1" level="1">
      <sharedItems containsSemiMixedTypes="0" containsNonDate="0" containsString="0"/>
    </cacheField>
    <cacheField name="[dim_date].[Quarter].[Quarter]" caption="Quarter" numFmtId="0" hierarchy="11" level="1">
      <sharedItems containsSemiMixedTypes="0" containsString="0" containsNumber="1" containsInteger="1" minValue="1" maxValue="4" count="4">
        <n v="1"/>
        <n v="2"/>
        <n v="3"/>
        <n v="4"/>
      </sharedItems>
    </cacheField>
  </cacheFields>
  <cacheHierarchies count="46">
    <cacheHierarchy uniqueName="[dim_customer].[customer_code]" caption="customer_code" attribute="1" defaultMemberUniqueName="[dim_customer].[customer_code].[All]" allUniqueName="[dim_customer].[customer_code].[All]" dimensionUniqueName="[dim_customer]" displayFolder="" count="0" memberValueDatatype="20" unbalanced="0"/>
    <cacheHierarchy uniqueName="[dim_customer].[customer]" caption="customer" attribute="1" defaultMemberUniqueName="[dim_customer].[customer].[All]" allUniqueName="[dim_customer].[customer].[All]" dimensionUniqueName="[dim_customer]" displayFolder="" count="2" memberValueDatatype="130" unbalanced="0">
      <fieldsUsage count="2">
        <fieldUsage x="-1"/>
        <fieldUsage x="9"/>
      </fieldsUsage>
    </cacheHierarchy>
    <cacheHierarchy uniqueName="[dim_customer].[market]" caption="market" attribute="1" defaultMemberUniqueName="[dim_customer].[market].[All]" allUniqueName="[dim_customer].[market].[All]" dimensionUniqueName="[dim_customer]" displayFolder="" count="0" memberValueDatatype="130" unbalanced="0"/>
    <cacheHierarchy uniqueName="[dim_customer].[platform]" caption="platform" attribute="1" defaultMemberUniqueName="[dim_customer].[platform].[All]" allUniqueName="[dim_customer].[platform].[All]" dimensionUniqueName="[dim_customer]" displayFolder="" count="0" memberValueDatatype="130" unbalanced="0"/>
    <cacheHierarchy uniqueName="[dim_customer].[channel]" caption="channel" attribute="1" defaultMemberUniqueName="[dim_customer].[channel].[All]" allUniqueName="[dim_customer].[channel].[All]" dimensionUniqueName="[dim_customer]" displayFolder="" count="0" memberValueDatatype="13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months]" caption="months" attribute="1" time="1" defaultMemberUniqueName="[dim_date].[months].[All]" allUniqueName="[dim_date].[months].[All]" dimensionUniqueName="[dim_date]" displayFolder="" count="0" memberValueDatatype="7" unbalanced="0"/>
    <cacheHierarchy uniqueName="[dim_date].[FY]" caption="FY" attribute="1" defaultMemberUniqueName="[dim_date].[FY].[All]" allUniqueName="[dim_date].[FY].[All]" dimensionUniqueName="[dim_date]" displayFolder="" count="2" memberValueDatatype="130" unbalanced="0">
      <fieldsUsage count="2">
        <fieldUsage x="-1"/>
        <fieldUsage x="8"/>
      </fieldsUsage>
    </cacheHierarchy>
    <cacheHierarchy uniqueName="[dim_date].[mmm]" caption="mmm" attribute="1" defaultMemberUniqueName="[dim_date].[mmm].[All]" allUniqueName="[dim_date].[mmm].[All]" dimensionUniqueName="[dim_date]" displayFolder="" count="2" memberValueDatatype="130" unbalanced="0">
      <fieldsUsage count="2">
        <fieldUsage x="-1"/>
        <fieldUsage x="4"/>
      </fieldsUsage>
    </cacheHierarchy>
    <cacheHierarchy uniqueName="[dim_date].[month no.]" caption="month no." attribute="1" defaultMemberUniqueName="[dim_date].[month no.].[All]" allUniqueName="[dim_date].[month no.].[All]" dimensionUniqueName="[dim_date]" displayFolder="" count="0" memberValueDatatype="20" unbalanced="0"/>
    <cacheHierarchy uniqueName="[dim_date].[fiscal month]" caption="fiscal month" attribute="1" defaultMemberUniqueName="[dim_date].[fiscal month].[All]" allUniqueName="[dim_date].[fiscal month].[All]" dimensionUniqueName="[dim_date]" displayFolder="" count="0" memberValueDatatype="20" unbalanced="0"/>
    <cacheHierarchy uniqueName="[dim_date].[Quarter]" caption="Quarter" attribute="1" defaultMemberUniqueName="[dim_date].[Quarter].[All]" allUniqueName="[dim_date].[Quarter].[All]" dimensionUniqueName="[dim_date]" displayFolder="" count="2" memberValueDatatype="5" unbalanced="0">
      <fieldsUsage count="2">
        <fieldUsage x="-1"/>
        <fieldUsage x="10"/>
      </fieldsUsage>
    </cacheHierarchy>
    <cacheHierarchy uniqueName="[dim_market].[market]" caption="market" attribute="1" defaultMemberUniqueName="[dim_market].[market].[All]" allUniqueName="[dim_market].[market].[All]" dimensionUniqueName="[dim_market]" displayFolder="" count="2" memberValueDatatype="130" unbalanced="0">
      <fieldsUsage count="2">
        <fieldUsage x="-1"/>
        <fieldUsage x="7"/>
      </fieldsUsage>
    </cacheHierarchy>
    <cacheHierarchy uniqueName="[dim_market].[sub_zone]" caption="sub_zone" attribute="1" defaultMemberUniqueName="[dim_market].[sub_zone].[All]" allUniqueName="[dim_market].[sub_zone].[All]" dimensionUniqueName="[dim_market]" displayFolder="" count="0" memberValueDatatype="130" unbalanced="0"/>
    <cacheHierarchy uniqueName="[dim_market].[region]" caption="region" attribute="1" defaultMemberUniqueName="[dim_market].[region].[All]" allUniqueName="[dim_market].[region].[All]" dimensionUniqueName="[dim_market]" displayFolder="" count="2" memberValueDatatype="130" unbalanced="0">
      <fieldsUsage count="2">
        <fieldUsage x="-1"/>
        <fieldUsage x="5"/>
      </fieldsUsage>
    </cacheHierarchy>
    <cacheHierarchy uniqueName="[dim_product].[product_code]" caption="product_code" attribute="1" defaultMemberUniqueName="[dim_product].[product_code].[All]" allUniqueName="[dim_product].[product_code].[All]" dimensionUniqueName="[dim_product]" displayFolder="" count="0" memberValueDatatype="130" unbalanced="0"/>
    <cacheHierarchy uniqueName="[dim_product].[division]" caption="division" attribute="1" defaultMemberUniqueName="[dim_product].[division].[All]" allUniqueName="[dim_product].[division].[All]" dimensionUniqueName="[dim_product]" displayFolder="" count="2" memberValueDatatype="130" unbalanced="0">
      <fieldsUsage count="2">
        <fieldUsage x="-1"/>
        <fieldUsage x="6"/>
      </fieldsUsage>
    </cacheHierarchy>
    <cacheHierarchy uniqueName="[dim_product].[segment]" caption="segment" attribute="1" defaultMemberUniqueName="[dim_product].[segment].[All]" allUniqueName="[dim_product].[segment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0" memberValueDatatype="130" unbalanced="0"/>
    <cacheHierarchy uniqueName="[dim_product].[product]" caption="product" attribute="1" defaultMemberUniqueName="[dim_product].[product].[All]" allUniqueName="[dim_product].[product].[All]" dimensionUniqueName="[dim_product]" displayFolder="" count="0" memberValueDatatype="130" unbalanced="0"/>
    <cacheHierarchy uniqueName="[dim_product].[variant]" caption="variant" attribute="1" defaultMemberUniqueName="[dim_product].[variant].[All]" allUniqueName="[dim_product].[variant].[All]" dimensionUniqueName="[dim_product]" displayFolder="" count="0" memberValueDatatype="130" unbalanced="0"/>
    <cacheHierarchy uniqueName="[fact_sales_monthly].[date]" caption="date" attribute="1" time="1" defaultMemberUniqueName="[fact_sales_monthly].[date].[All]" allUniqueName="[fact_sales_monthly].[date].[All]" dimensionUniqueName="[fact_sales_monthly]" displayFolder="" count="0" memberValueDatatype="7" unbalanced="0"/>
    <cacheHierarchy uniqueName="[fact_sales_monthly].[product_code]" caption="product_code" attribute="1" defaultMemberUniqueName="[fact_sales_monthly].[product_code].[All]" allUniqueName="[fact_sales_monthly].[product_code].[All]" dimensionUniqueName="[fact_sales_monthly]" displayFolder="" count="0" memberValueDatatype="130" unbalanced="0"/>
    <cacheHierarchy uniqueName="[fact_sales_monthly].[customer_code]" caption="customer_code" attribute="1" defaultMemberUniqueName="[fact_sales_monthly].[customer_code].[All]" allUniqueName="[fact_sales_monthly].[customer_code].[All]" dimensionUniqueName="[fact_sales_monthly]" displayFolder="" count="0" memberValueDatatype="20" unbalanced="0"/>
    <cacheHierarchy uniqueName="[fact_sales_monthly].[Qty]" caption="Qty" attribute="1" defaultMemberUniqueName="[fact_sales_monthly].[Qty].[All]" allUniqueName="[fact_sales_monthly].[Qty].[All]" dimensionUniqueName="[fact_sales_monthly]" displayFolder="" count="0" memberValueDatatype="20" unbalanced="0"/>
    <cacheHierarchy uniqueName="[fact_sales_monthly].[net_sales_amount]" caption="net_sales_amount" attribute="1" defaultMemberUniqueName="[fact_sales_monthly].[net_sales_amount].[All]" allUniqueName="[fact_sales_monthly].[net_sales_amount].[All]" dimensionUniqueName="[fact_sales_monthly]" displayFolder="" count="0" memberValueDatatype="5" unbalanced="0"/>
    <cacheHierarchy uniqueName="[fact_sales_monthly].[freight_cost]" caption="freight_cost" attribute="1" defaultMemberUniqueName="[fact_sales_monthly].[freight_cost].[All]" allUniqueName="[fact_sales_monthly].[freight_cost].[All]" dimensionUniqueName="[fact_sales_monthly]" displayFolder="" count="0" memberValueDatatype="5" unbalanced="0"/>
    <cacheHierarchy uniqueName="[fact_sales_monthly].[manufacturing_cost]" caption="manufacturing_cost" attribute="1" defaultMemberUniqueName="[fact_sales_monthly].[manufacturing_cost].[All]" allUniqueName="[fact_sales_monthly].[manufacturing_cost].[All]" dimensionUniqueName="[fact_sales_monthly]" displayFolder="" count="0" memberValueDatatype="5" unbalanced="0"/>
    <cacheHierarchy uniqueName="[fact_sales_monthly].[Total COGS]" caption="Total COGS" attribute="1" defaultMemberUniqueName="[fact_sales_monthly].[Total COGS].[All]" allUniqueName="[fact_sales_monthly].[Total COGS].[All]" dimensionUniqueName="[fact_sales_monthly]" displayFolder="" count="0" memberValueDatatype="5" unbalanced="0"/>
    <cacheHierarchy uniqueName="[Measures].[Net sale]" caption="Net sale" measure="1" displayFolder="" measureGroup="fact_sales_monthly" count="0" oneField="1">
      <fieldsUsage count="1">
        <fieldUsage x="0"/>
      </fieldsUsage>
    </cacheHierarchy>
    <cacheHierarchy uniqueName="[Measures].[Net sales 19]" caption="Net sales 19" measure="1" displayFolder="" measureGroup="fact_sales_monthly" count="0"/>
    <cacheHierarchy uniqueName="[Measures].[Net sales 2020]" caption="Net sales 2020" measure="1" displayFolder="" measureGroup="fact_sales_monthly" count="0"/>
    <cacheHierarchy uniqueName="[Measures].[Net sales 21]" caption="Net sales 21" measure="1" displayFolder="" measureGroup="fact_sales_monthly" count="0"/>
    <cacheHierarchy uniqueName="[Measures].[21 vs 20]" caption="21 vs 20" measure="1" displayFolder="" measureGroup="fact_sales_monthly" count="0"/>
    <cacheHierarchy uniqueName="[Measures].[2021 vs 20]" caption="2021 vs 20" measure="1" displayFolder="" measureGroup="fact_sales_monthly" count="0"/>
    <cacheHierarchy uniqueName="[Measures].[COGS]" caption="COGS" measure="1" displayFolder="" measureGroup="fact_sales_monthly" count="0" oneField="1">
      <fieldsUsage count="1">
        <fieldUsage x="1"/>
      </fieldsUsage>
    </cacheHierarchy>
    <cacheHierarchy uniqueName="[Measures].[Gross margin]" caption="Gross margin" measure="1" displayFolder="" measureGroup="fact_sales_monthly" count="0" oneField="1">
      <fieldsUsage count="1">
        <fieldUsage x="2"/>
      </fieldsUsage>
    </cacheHierarchy>
    <cacheHierarchy uniqueName="[Measures].[GM %]" caption="GM %" measure="1" displayFolder="" measureGroup="fact_sales_monthly" count="0" oneField="1">
      <fieldsUsage count="1">
        <fieldUsage x="3"/>
      </fieldsUsage>
    </cacheHierarchy>
    <cacheHierarchy uniqueName="[Measures].[GR M %]" caption="GR M %" measure="1" displayFolder="" measureGroup="fact_sales_monthly" count="0"/>
    <cacheHierarchy uniqueName="[Measures].[__XL_Count dim_customer]" caption="__XL_Count dim_customer" measure="1" displayFolder="" measureGroup="dim_customer" count="0" hidden="1"/>
    <cacheHierarchy uniqueName="[Measures].[__XL_Count dim_date]" caption="__XL_Count dim_date" measure="1" displayFolder="" measureGroup="dim_date" count="0" hidden="1"/>
    <cacheHierarchy uniqueName="[Measures].[__XL_Count dim_market]" caption="__XL_Count dim_market" measure="1" displayFolder="" measureGroup="dim_market" count="0" hidden="1"/>
    <cacheHierarchy uniqueName="[Measures].[__XL_Count dim_product]" caption="__XL_Count dim_product" measure="1" displayFolder="" measureGroup="dim_product" count="0" hidden="1"/>
    <cacheHierarchy uniqueName="[Measures].[__XL_Count fact_sales_monthly]" caption="__XL_Count fact_sales_monthly" measure="1" displayFolder="" measureGroup="fact_sales_monthly" count="0" hidden="1"/>
    <cacheHierarchy uniqueName="[Measures].[__No measures defined]" caption="__No measures defined" measure="1" displayFolder="" count="0" hidden="1"/>
    <cacheHierarchy uniqueName="[Measures].[Sum of net_sales_amount]" caption="Sum of net_sales_amount" measure="1" displayFolder="" measureGroup="fact_sales_monthl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6">
    <dimension name="dim_customer" uniqueName="[dim_customer]" caption="dim_customer"/>
    <dimension name="dim_date" uniqueName="[dim_date]" caption="dim_date"/>
    <dimension name="dim_market" uniqueName="[dim_market]" caption="dim_market"/>
    <dimension name="dim_product" uniqueName="[dim_product]" caption="dim_product"/>
    <dimension name="fact_sales_monthly" uniqueName="[fact_sales_monthly]" caption="fact_sales_monthly"/>
    <dimension measure="1" name="Measures" uniqueName="[Measures]" caption="Measures"/>
  </dimensions>
  <measureGroups count="5">
    <measureGroup name="dim_customer" caption="dim_customer"/>
    <measureGroup name="dim_date" caption="dim_date"/>
    <measureGroup name="dim_market" caption="dim_market"/>
    <measureGroup name="dim_product" caption="dim_product"/>
    <measureGroup name="fact_sales_monthly" caption="fact_sales_monthly"/>
  </measureGroups>
  <maps count="10">
    <map measureGroup="0" dimension="0"/>
    <map measureGroup="0" dimension="2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4872E3-F131-4697-8C30-82F7452E9FAB}" name="PivotTable1" cacheId="39" dataOnRows="1" applyNumberFormats="0" applyBorderFormats="0" applyFontFormats="0" applyPatternFormats="0" applyAlignmentFormats="0" applyWidthHeightFormats="1" dataCaption="Metrics" tag="1978aadf-4e22-4e20-ac5e-ecf532107eb7" updatedVersion="8" minRefreshableVersion="3" rowGrandTotals="0" itemPrintTitles="1" createdVersion="8" indent="0" outline="1" outlineData="1" multipleFieldFilters="0" colHeaderCaption="Quarter">
  <location ref="B10:O16" firstHeaderRow="1" firstDataRow="3" firstDataCol="1" rowPageCount="5" colPageCount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-2"/>
  </rowFields>
  <rowItems count="4">
    <i>
      <x/>
    </i>
    <i i="1">
      <x v="1"/>
    </i>
    <i i="2">
      <x v="2"/>
    </i>
    <i i="3">
      <x v="3"/>
    </i>
  </rowItems>
  <colFields count="2">
    <field x="10"/>
    <field x="4"/>
  </colFields>
  <colItems count="13">
    <i>
      <x/>
      <x/>
    </i>
    <i r="1">
      <x v="1"/>
    </i>
    <i r="1">
      <x v="2"/>
    </i>
    <i>
      <x v="1"/>
      <x v="3"/>
    </i>
    <i r="1">
      <x v="4"/>
    </i>
    <i r="1">
      <x v="5"/>
    </i>
    <i>
      <x v="2"/>
      <x v="6"/>
    </i>
    <i r="1">
      <x v="7"/>
    </i>
    <i r="1">
      <x v="8"/>
    </i>
    <i>
      <x v="3"/>
      <x v="9"/>
    </i>
    <i r="1">
      <x v="10"/>
    </i>
    <i r="1">
      <x v="11"/>
    </i>
    <i t="grand">
      <x/>
    </i>
  </colItems>
  <pageFields count="5">
    <pageField fld="5" hier="14" name="[dim_market].[region].[All]" cap="All"/>
    <pageField fld="7" hier="12" name="[dim_market].[market].[All]" cap="All"/>
    <pageField fld="6" hier="16" name="[dim_product].[division].[All]" cap="All"/>
    <pageField fld="9" hier="1" name="[dim_customer].[customer].[All]" cap="All"/>
    <pageField fld="8" hier="7" name="[dim_date].[FY].&amp;[2019]" cap="2019"/>
  </pageFields>
  <dataFields count="4">
    <dataField fld="0" subtotal="count" baseField="0" baseItem="0" numFmtId="164"/>
    <dataField fld="1" subtotal="count" baseField="0" baseItem="0"/>
    <dataField fld="2" subtotal="count" baseField="0" baseItem="0"/>
    <dataField fld="3" subtotal="count" baseField="0" baseItem="0"/>
  </dataFields>
  <formats count="7">
    <format dxfId="19">
      <pivotArea collapsedLevelsAreSubtotals="1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collapsedLevelsAreSubtotals="1" fieldPosition="0">
        <references count="1">
          <reference field="4294967294" count="1">
            <x v="3"/>
          </reference>
        </references>
      </pivotArea>
    </format>
    <format dxfId="21">
      <pivotArea field="-2" type="button" dataOnly="0" labelOnly="1" outline="0" axis="axisRow" fieldPosition="0"/>
    </format>
    <format dxfId="22">
      <pivotArea dataOnly="0" labelOnly="1" fieldPosition="0">
        <references count="1">
          <reference field="4" count="0"/>
        </references>
      </pivotArea>
    </format>
    <format dxfId="23">
      <pivotArea dataOnly="0" labelOnly="1" grandCol="1" outline="0" fieldPosition="0"/>
    </format>
    <format dxfId="24">
      <pivotArea field="4" type="button" dataOnly="0" labelOnly="1" outline="0" axis="axisCol" fieldPosition="1"/>
    </format>
    <format dxfId="25">
      <pivotArea type="topRight" dataOnly="0" labelOnly="1" outline="0" fieldPosition="0"/>
    </format>
  </formats>
  <conditionalFormats count="4">
    <conditionalFormat priority="18">
      <pivotAreas count="1">
        <pivotArea type="data" collapsedLevelsAreSubtotals="1" fieldPosition="0">
          <references count="3">
            <reference field="4294967294" count="1">
              <x v="3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20">
      <pivotAreas count="1">
        <pivotArea type="data" collapsedLevelsAreSubtotals="1" fieldPosition="0">
          <references count="3">
            <reference field="4294967294" count="1">
              <x v="2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21">
      <pivotAreas count="1">
        <pivotArea type="data" collapsedLevelsAreSubtotals="1" fieldPosition="0">
          <references count="3">
            <reference field="4294967294" count="1">
              <x v="1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22">
      <pivotAreas count="1">
        <pivotArea type="data" collapsedLevelsAreSubtotals="1" fieldPosition="0">
          <references count="3">
            <reference field="4294967294" count="1">
              <x v="0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</conditionalFormat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im_date].[FY].&amp;[2019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AtliQ" showRowHeaders="1" showColHeaders="1" showRowStripes="0" showColStripes="0" showLastColumn="1"/>
  <rowHierarchiesUsage count="1">
    <rowHierarchyUsage hierarchyUsage="-2"/>
  </rowHierarchiesUsage>
  <colHierarchiesUsage count="2">
    <colHierarchyUsage hierarchyUsage="11"/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market]"/>
        <x15:activeTabTopLevelEntity name="[dim_product]"/>
        <x15:activeTabTopLevelEntity name="[fact_sales_monthly]"/>
        <x15:activeTabTopLevelEntity name="[dim_date]"/>
        <x15:activeTabTopLevelEntity name="[dim_custom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6ACBCB-457B-42C2-8DB9-EAF731C3DD98}" name="PivotTable2" cacheId="42" dataOnRows="1" applyNumberFormats="0" applyBorderFormats="0" applyFontFormats="0" applyPatternFormats="0" applyAlignmentFormats="0" applyWidthHeightFormats="1" dataCaption="Metrics" tag="709a12b8-9815-4533-9216-772ebd67c6a7" updatedVersion="8" minRefreshableVersion="3" rowGrandTotals="0" itemPrintTitles="1" createdVersion="8" indent="0" outline="1" outlineData="1" multipleFieldFilters="0" colHeaderCaption="Quarter">
  <location ref="B26:C32" firstHeaderRow="1" firstDataRow="3" firstDataCol="1" rowPageCount="5" colPageCount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-2"/>
  </rowFields>
  <rowItems count="4">
    <i>
      <x/>
    </i>
    <i i="1">
      <x v="1"/>
    </i>
    <i i="2">
      <x v="2"/>
    </i>
    <i i="3">
      <x v="3"/>
    </i>
  </rowItems>
  <colFields count="2">
    <field x="10"/>
    <field x="4"/>
  </colFields>
  <pageFields count="5">
    <pageField fld="5" hier="14" name="[dim_market].[region].[All]" cap="All"/>
    <pageField fld="7" hier="12" name="[dim_market].[market].[All]" cap="All"/>
    <pageField fld="6" hier="16" name="[dim_product].[division].[All]" cap="All"/>
    <pageField fld="9" hier="1" name="[dim_customer].[customer].[All]" cap="All"/>
    <pageField fld="8" hier="7" name="[dim_date].[FY].[All]" cap="All"/>
  </pageFields>
  <dataFields count="4">
    <dataField fld="0" subtotal="count" baseField="0" baseItem="0" numFmtId="164"/>
    <dataField fld="1" subtotal="count" baseField="0" baseItem="0"/>
    <dataField fld="2" subtotal="count" baseField="0" baseItem="0"/>
    <dataField fld="3" subtotal="count" baseField="0" baseItem="0"/>
  </dataFields>
  <formats count="6">
    <format dxfId="26">
      <pivotArea collapsedLevelsAreSubtotals="1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collapsedLevelsAreSubtotals="1" fieldPosition="0">
        <references count="1">
          <reference field="4294967294" count="1">
            <x v="3"/>
          </reference>
        </references>
      </pivotArea>
    </format>
    <format dxfId="28">
      <pivotArea field="-2" type="button" dataOnly="0" labelOnly="1" outline="0" axis="axisRow" fieldPosition="0"/>
    </format>
    <format dxfId="29">
      <pivotArea dataOnly="0" labelOnly="1" fieldPosition="0">
        <references count="1">
          <reference field="4" count="0"/>
        </references>
      </pivotArea>
    </format>
    <format dxfId="30">
      <pivotArea dataOnly="0" labelOnly="1" grandCol="1" outline="0" fieldPosition="0"/>
    </format>
    <format dxfId="31">
      <pivotArea field="4" type="button" dataOnly="0" labelOnly="1" outline="0" axis="axisCol" fieldPosition="1"/>
    </format>
  </formats>
  <conditionalFormats count="8">
    <conditionalFormat priority="12">
      <pivotAreas count="1">
        <pivotArea type="data" collapsedLevelsAreSubtotals="1" fieldPosition="0">
          <references count="3">
            <reference field="4294967294" count="1">
              <x v="3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13">
      <pivotAreas count="1">
        <pivotArea type="data" collapsedLevelsAreSubtotals="1" fieldPosition="0">
          <references count="3">
            <reference field="4294967294" count="1">
              <x v="2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3">
            <reference field="4294967294" count="1">
              <x v="2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3">
            <reference field="4294967294" count="1">
              <x v="1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16">
      <pivotAreas count="1">
        <pivotArea type="data" collapsedLevelsAreSubtotals="1" fieldPosition="0">
          <references count="3">
            <reference field="4294967294" count="1">
              <x v="1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17">
      <pivotAreas count="1">
        <pivotArea type="data" collapsedLevelsAreSubtotals="1" fieldPosition="0">
          <references count="3">
            <reference field="4294967294" count="1">
              <x v="0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26">
      <pivotAreas count="1">
        <pivotArea type="data" collapsedLevelsAreSubtotals="1" fieldPosition="0">
          <references count="2">
            <reference field="4294967294" count="1">
              <x v="3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  <conditionalFormat priority="27">
      <pivotAreas count="1">
        <pivotArea type="data" collapsedLevelsAreSubtotals="1" fieldPosition="0">
          <references count="2">
            <reference field="4294967294" count="1">
              <x v="0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AtliQ" showRowHeaders="1" showColHeaders="1" showRowStripes="0" showColStripes="0" showLastColumn="1"/>
  <rowHierarchiesUsage count="1">
    <rowHierarchyUsage hierarchyUsage="-2"/>
  </rowHierarchiesUsage>
  <colHierarchiesUsage count="2">
    <colHierarchyUsage hierarchyUsage="11"/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market]"/>
        <x15:activeTabTopLevelEntity name="[dim_product]"/>
        <x15:activeTabTopLevelEntity name="[fact_sales_monthly]"/>
        <x15:activeTabTopLevelEntity name="[dim_date]"/>
        <x15:activeTabTopLevelEntity name="[dim_custom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C5526-2B54-4C92-8C4F-86CDC373E454}" name="PivotTable3" cacheId="45" dataOnRows="1" applyNumberFormats="0" applyBorderFormats="0" applyFontFormats="0" applyPatternFormats="0" applyAlignmentFormats="0" applyWidthHeightFormats="1" dataCaption="Metrics" tag="0571ed14-d26f-410d-87df-10147fe61e5d" updatedVersion="8" minRefreshableVersion="3" rowGrandTotals="0" itemPrintTitles="1" createdVersion="8" indent="0" outline="1" outlineData="1" multipleFieldFilters="0" colHeaderCaption="Quarter">
  <location ref="B42:C48" firstHeaderRow="1" firstDataRow="3" firstDataCol="1" rowPageCount="5" colPageCount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-2"/>
  </rowFields>
  <rowItems count="4">
    <i>
      <x/>
    </i>
    <i i="1">
      <x v="1"/>
    </i>
    <i i="2">
      <x v="2"/>
    </i>
    <i i="3">
      <x v="3"/>
    </i>
  </rowItems>
  <colFields count="2">
    <field x="10"/>
    <field x="4"/>
  </colFields>
  <pageFields count="5">
    <pageField fld="5" hier="14" name="[dim_market].[region].[All]" cap="All"/>
    <pageField fld="7" hier="12" name="[dim_market].[market].[All]" cap="All"/>
    <pageField fld="6" hier="16" name="[dim_product].[division].[All]" cap="All"/>
    <pageField fld="9" hier="1" name="[dim_customer].[customer].[All]" cap="All"/>
    <pageField fld="8" hier="7" name="[dim_date].[FY].[All]" cap="All"/>
  </pageFields>
  <dataFields count="4">
    <dataField fld="0" subtotal="count" baseField="0" baseItem="0" numFmtId="164"/>
    <dataField fld="1" subtotal="count" baseField="0" baseItem="0"/>
    <dataField fld="2" subtotal="count" baseField="0" baseItem="0"/>
    <dataField fld="3" subtotal="count" baseField="0" baseItem="0"/>
  </dataFields>
  <formats count="6">
    <format dxfId="32">
      <pivotArea collapsedLevelsAreSubtotals="1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collapsedLevelsAreSubtotals="1" fieldPosition="0">
        <references count="1">
          <reference field="4294967294" count="1">
            <x v="3"/>
          </reference>
        </references>
      </pivotArea>
    </format>
    <format dxfId="34">
      <pivotArea field="-2" type="button" dataOnly="0" labelOnly="1" outline="0" axis="axisRow" fieldPosition="0"/>
    </format>
    <format dxfId="35">
      <pivotArea dataOnly="0" labelOnly="1" fieldPosition="0">
        <references count="1">
          <reference field="4" count="0"/>
        </references>
      </pivotArea>
    </format>
    <format dxfId="36">
      <pivotArea dataOnly="0" labelOnly="1" grandCol="1" outline="0" fieldPosition="0"/>
    </format>
    <format dxfId="37">
      <pivotArea field="4" type="button" dataOnly="0" labelOnly="1" outline="0" axis="axisCol" fieldPosition="1"/>
    </format>
  </formats>
  <conditionalFormats count="8">
    <conditionalFormat priority="4">
      <pivotAreas count="1">
        <pivotArea type="data" collapsedLevelsAreSubtotals="1" fieldPosition="0">
          <references count="3">
            <reference field="4294967294" count="1">
              <x v="3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3">
            <reference field="4294967294" count="1">
              <x v="2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3">
            <reference field="4294967294" count="1">
              <x v="2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3">
            <reference field="4294967294" count="1">
              <x v="1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3">
            <reference field="4294967294" count="1">
              <x v="1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3">
            <reference field="4294967294" count="1">
              <x v="0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10" count="4" selected="0">
              <x v="0"/>
              <x v="1"/>
              <x v="2"/>
              <x v="3"/>
            </reference>
          </references>
        </pivotArea>
      </pivotAreas>
    </conditionalFormat>
    <conditionalFormat priority="24">
      <pivotAreas count="1">
        <pivotArea type="data" collapsedLevelsAreSubtotals="1" fieldPosition="0">
          <references count="2">
            <reference field="4294967294" count="1">
              <x v="3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  <conditionalFormat priority="25">
      <pivotAreas count="1">
        <pivotArea type="data" collapsedLevelsAreSubtotals="1" fieldPosition="0">
          <references count="2">
            <reference field="4294967294" count="1">
              <x v="0"/>
            </reference>
            <reference field="4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AtliQ" showRowHeaders="1" showColHeaders="1" showRowStripes="0" showColStripes="0" showLastColumn="1"/>
  <rowHierarchiesUsage count="1">
    <rowHierarchyUsage hierarchyUsage="-2"/>
  </rowHierarchiesUsage>
  <colHierarchiesUsage count="2">
    <colHierarchyUsage hierarchyUsage="11"/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market]"/>
        <x15:activeTabTopLevelEntity name="[dim_product]"/>
        <x15:activeTabTopLevelEntity name="[fact_sales_monthly]"/>
        <x15:activeTabTopLevelEntity name="[dim_date]"/>
        <x15:activeTabTopLevelEntity name="[dim_custom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E7862-F3A6-412E-9104-D8714F60C950}">
  <dimension ref="B3:W533"/>
  <sheetViews>
    <sheetView showGridLines="0" tabSelected="1" showWhiteSpace="0" zoomScaleNormal="100" workbookViewId="0">
      <selection activeCell="N22" sqref="N22"/>
    </sheetView>
  </sheetViews>
  <sheetFormatPr defaultRowHeight="14.4"/>
  <cols>
    <col min="1" max="1" width="2.33203125" customWidth="1"/>
    <col min="2" max="2" width="11.109375" customWidth="1"/>
    <col min="3" max="3" width="9.77734375" customWidth="1"/>
    <col min="4" max="4" width="7" customWidth="1"/>
    <col min="5" max="6" width="7.44140625" customWidth="1"/>
    <col min="7" max="7" width="7.109375" customWidth="1"/>
    <col min="8" max="8" width="6.88671875" customWidth="1"/>
    <col min="9" max="9" width="8.33203125" customWidth="1"/>
    <col min="10" max="10" width="7" customWidth="1"/>
    <col min="11" max="11" width="7.5546875" customWidth="1"/>
    <col min="12" max="12" width="7.44140625" customWidth="1"/>
    <col min="13" max="13" width="7.5546875" customWidth="1"/>
    <col min="14" max="14" width="7.109375" customWidth="1"/>
    <col min="15" max="15" width="7.44140625" customWidth="1"/>
  </cols>
  <sheetData>
    <row r="3" spans="2:17">
      <c r="B3" s="1" t="s">
        <v>0</v>
      </c>
    </row>
    <row r="4" spans="2:17">
      <c r="B4" s="12" t="s">
        <v>1</v>
      </c>
      <c r="C4" t="s" vm="1">
        <v>2</v>
      </c>
    </row>
    <row r="5" spans="2:17">
      <c r="B5" s="12" t="s">
        <v>3</v>
      </c>
      <c r="C5" t="s" vm="2">
        <v>2</v>
      </c>
      <c r="G5" s="2" t="s">
        <v>4</v>
      </c>
      <c r="H5" s="2"/>
    </row>
    <row r="6" spans="2:17">
      <c r="B6" s="12" t="s">
        <v>5</v>
      </c>
      <c r="C6" t="s" vm="3">
        <v>2</v>
      </c>
      <c r="G6" s="2" t="s">
        <v>6</v>
      </c>
      <c r="H6" s="2"/>
    </row>
    <row r="7" spans="2:17">
      <c r="B7" s="12" t="s">
        <v>7</v>
      </c>
      <c r="C7" t="s" vm="4">
        <v>2</v>
      </c>
      <c r="G7" s="2" t="s">
        <v>8</v>
      </c>
      <c r="H7" s="2"/>
    </row>
    <row r="8" spans="2:17">
      <c r="B8" s="12" t="s">
        <v>9</v>
      </c>
      <c r="C8" t="s" vm="5">
        <v>10</v>
      </c>
    </row>
    <row r="10" spans="2:17">
      <c r="C10" s="12" t="s">
        <v>11</v>
      </c>
      <c r="D10" s="3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2:17">
      <c r="C11">
        <v>1</v>
      </c>
      <c r="F11">
        <v>2</v>
      </c>
      <c r="I11">
        <v>3</v>
      </c>
      <c r="L11">
        <v>4</v>
      </c>
      <c r="O11" s="3" t="s">
        <v>12</v>
      </c>
      <c r="P11" s="4"/>
    </row>
    <row r="12" spans="2:17">
      <c r="B12" s="13" t="s">
        <v>13</v>
      </c>
      <c r="C12" s="3" t="s">
        <v>14</v>
      </c>
      <c r="D12" s="3" t="s">
        <v>15</v>
      </c>
      <c r="E12" s="3" t="s">
        <v>16</v>
      </c>
      <c r="F12" s="3" t="s">
        <v>17</v>
      </c>
      <c r="G12" s="3" t="s">
        <v>18</v>
      </c>
      <c r="H12" s="3" t="s">
        <v>19</v>
      </c>
      <c r="I12" s="3" t="s">
        <v>20</v>
      </c>
      <c r="J12" s="3" t="s">
        <v>21</v>
      </c>
      <c r="K12" s="3" t="s">
        <v>22</v>
      </c>
      <c r="L12" s="3" t="s">
        <v>23</v>
      </c>
      <c r="M12" s="3" t="s">
        <v>24</v>
      </c>
      <c r="N12" s="3" t="s">
        <v>25</v>
      </c>
      <c r="O12" s="3"/>
      <c r="P12" s="4"/>
    </row>
    <row r="13" spans="2:17">
      <c r="B13" s="5" t="s">
        <v>26</v>
      </c>
      <c r="C13" s="4">
        <v>6462654.7000000002</v>
      </c>
      <c r="D13" s="4">
        <v>8038536.1100000003</v>
      </c>
      <c r="E13" s="4">
        <v>10735791.5</v>
      </c>
      <c r="F13" s="4">
        <v>11436776.859999999</v>
      </c>
      <c r="G13" s="4">
        <v>6521144.4299999997</v>
      </c>
      <c r="H13" s="4">
        <v>6080697.3300000001</v>
      </c>
      <c r="I13" s="4">
        <v>6412201.4000000004</v>
      </c>
      <c r="J13" s="4">
        <v>6321720.7000000002</v>
      </c>
      <c r="K13" s="4">
        <v>6489651.3499999996</v>
      </c>
      <c r="L13" s="4">
        <v>6184359.6699999999</v>
      </c>
      <c r="M13" s="4">
        <v>6483682.7400000002</v>
      </c>
      <c r="N13" s="4">
        <v>6311041.5599999996</v>
      </c>
      <c r="O13" s="4">
        <v>87478258.349999994</v>
      </c>
      <c r="P13" s="4"/>
    </row>
    <row r="14" spans="2:17">
      <c r="B14" s="5" t="s">
        <v>27</v>
      </c>
      <c r="C14" s="4">
        <v>3821557.4640000053</v>
      </c>
      <c r="D14" s="4">
        <v>4664442.4928999906</v>
      </c>
      <c r="E14" s="4">
        <v>6281190.3094999958</v>
      </c>
      <c r="F14" s="4">
        <v>6703466.5721000051</v>
      </c>
      <c r="G14" s="4">
        <v>3855892.6254999992</v>
      </c>
      <c r="H14" s="4">
        <v>3530328.9526999989</v>
      </c>
      <c r="I14" s="4">
        <v>3754043.7395999972</v>
      </c>
      <c r="J14" s="4">
        <v>3705249.2085000016</v>
      </c>
      <c r="K14" s="4">
        <v>3842514.6996999932</v>
      </c>
      <c r="L14" s="4">
        <v>3587061.2112000054</v>
      </c>
      <c r="M14" s="4">
        <v>3794151.3340000017</v>
      </c>
      <c r="N14" s="4">
        <v>3698775.2235999992</v>
      </c>
      <c r="O14" s="4">
        <v>51238673.833299987</v>
      </c>
    </row>
    <row r="15" spans="2:17">
      <c r="B15" s="5" t="s">
        <v>28</v>
      </c>
      <c r="C15" s="4">
        <v>2641097.2359999949</v>
      </c>
      <c r="D15" s="4">
        <v>3374093.6171000097</v>
      </c>
      <c r="E15" s="4">
        <v>4454601.1905000042</v>
      </c>
      <c r="F15" s="4">
        <v>4733310.2878999943</v>
      </c>
      <c r="G15" s="4">
        <v>2665251.8045000006</v>
      </c>
      <c r="H15" s="4">
        <v>2550368.3773000012</v>
      </c>
      <c r="I15" s="4">
        <v>2658157.6604000032</v>
      </c>
      <c r="J15" s="4">
        <v>2616471.4914999986</v>
      </c>
      <c r="K15" s="4">
        <v>2647136.6503000064</v>
      </c>
      <c r="L15" s="4">
        <v>2597298.4587999946</v>
      </c>
      <c r="M15" s="4">
        <v>2689531.4059999986</v>
      </c>
      <c r="N15" s="4">
        <v>2612266.3364000004</v>
      </c>
      <c r="O15" s="4">
        <v>36239584.516700007</v>
      </c>
    </row>
    <row r="16" spans="2:17">
      <c r="B16" s="5" t="s">
        <v>29</v>
      </c>
      <c r="C16" s="6">
        <v>0.40867064056509084</v>
      </c>
      <c r="D16" s="6">
        <v>0.41973980970274072</v>
      </c>
      <c r="E16" s="6">
        <v>0.41492992766299569</v>
      </c>
      <c r="F16" s="6">
        <v>0.41386750356690921</v>
      </c>
      <c r="G16" s="6">
        <v>0.40870921248710951</v>
      </c>
      <c r="H16" s="6">
        <v>0.41942037876435484</v>
      </c>
      <c r="I16" s="6">
        <v>0.41454681389140446</v>
      </c>
      <c r="J16" s="6">
        <v>0.41388596802449662</v>
      </c>
      <c r="K16" s="6">
        <v>0.40790121187327061</v>
      </c>
      <c r="L16" s="6">
        <v>0.41997855839454995</v>
      </c>
      <c r="M16" s="6">
        <v>0.41481539332691014</v>
      </c>
      <c r="N16" s="6">
        <v>0.41392000220008068</v>
      </c>
      <c r="O16" s="6">
        <v>0.41426961624802411</v>
      </c>
    </row>
    <row r="17" spans="2:8">
      <c r="F17" s="7" t="str">
        <f>IFERROR(E17/D17-1,"")</f>
        <v/>
      </c>
    </row>
    <row r="18" spans="2:8">
      <c r="F18" s="7" t="str">
        <f t="shared" ref="F18:F81" si="0">IFERROR(E18/D18-1,"")</f>
        <v/>
      </c>
    </row>
    <row r="19" spans="2:8">
      <c r="F19" s="7" t="str">
        <f t="shared" si="0"/>
        <v/>
      </c>
    </row>
    <row r="20" spans="2:8">
      <c r="B20" s="12" t="s">
        <v>1</v>
      </c>
      <c r="C20" t="s" vm="1">
        <v>2</v>
      </c>
    </row>
    <row r="21" spans="2:8">
      <c r="B21" s="12" t="s">
        <v>3</v>
      </c>
      <c r="C21" t="s" vm="2">
        <v>2</v>
      </c>
      <c r="G21" s="2" t="s">
        <v>4</v>
      </c>
      <c r="H21" s="2"/>
    </row>
    <row r="22" spans="2:8">
      <c r="B22" s="12" t="s">
        <v>5</v>
      </c>
      <c r="C22" t="s" vm="3">
        <v>2</v>
      </c>
      <c r="G22" s="2" t="s">
        <v>6</v>
      </c>
      <c r="H22" s="2"/>
    </row>
    <row r="23" spans="2:8">
      <c r="B23" s="12" t="s">
        <v>7</v>
      </c>
      <c r="C23" t="s" vm="4">
        <v>2</v>
      </c>
      <c r="G23" s="2" t="s">
        <v>8</v>
      </c>
      <c r="H23" s="2"/>
    </row>
    <row r="24" spans="2:8">
      <c r="B24" s="12" t="s">
        <v>9</v>
      </c>
      <c r="C24" t="s" vm="6">
        <v>2</v>
      </c>
    </row>
    <row r="26" spans="2:8">
      <c r="C26" s="12" t="s">
        <v>11</v>
      </c>
    </row>
    <row r="28" spans="2:8">
      <c r="B28" s="13" t="s">
        <v>13</v>
      </c>
    </row>
    <row r="29" spans="2:8">
      <c r="B29" s="5" t="s">
        <v>26</v>
      </c>
      <c r="C29" s="4"/>
    </row>
    <row r="30" spans="2:8">
      <c r="B30" s="5" t="s">
        <v>27</v>
      </c>
      <c r="C30" s="4"/>
    </row>
    <row r="31" spans="2:8">
      <c r="B31" s="5" t="s">
        <v>28</v>
      </c>
      <c r="C31" s="4"/>
    </row>
    <row r="32" spans="2:8">
      <c r="B32" s="5" t="s">
        <v>29</v>
      </c>
      <c r="C32" s="6"/>
    </row>
    <row r="33" spans="2:23">
      <c r="F33" s="8" t="str">
        <f t="shared" si="0"/>
        <v/>
      </c>
    </row>
    <row r="34" spans="2:23">
      <c r="F34" s="8" t="str">
        <f t="shared" si="0"/>
        <v/>
      </c>
    </row>
    <row r="35" spans="2:23">
      <c r="F35" s="8" t="str">
        <f t="shared" si="0"/>
        <v/>
      </c>
    </row>
    <row r="36" spans="2:23">
      <c r="B36" s="12" t="s">
        <v>1</v>
      </c>
      <c r="C36" t="s" vm="1">
        <v>2</v>
      </c>
    </row>
    <row r="37" spans="2:23">
      <c r="B37" s="12" t="s">
        <v>3</v>
      </c>
      <c r="C37" t="s" vm="2">
        <v>2</v>
      </c>
      <c r="G37" s="2" t="s">
        <v>4</v>
      </c>
      <c r="H37" s="2"/>
    </row>
    <row r="38" spans="2:23">
      <c r="B38" s="12" t="s">
        <v>5</v>
      </c>
      <c r="C38" t="s" vm="3">
        <v>2</v>
      </c>
      <c r="G38" s="2" t="s">
        <v>6</v>
      </c>
      <c r="H38" s="2"/>
    </row>
    <row r="39" spans="2:23">
      <c r="B39" s="12" t="s">
        <v>7</v>
      </c>
      <c r="C39" t="s" vm="4">
        <v>2</v>
      </c>
      <c r="G39" s="2" t="s">
        <v>8</v>
      </c>
      <c r="H39" s="2"/>
    </row>
    <row r="40" spans="2:23">
      <c r="B40" s="12" t="s">
        <v>9</v>
      </c>
      <c r="C40" t="s" vm="6">
        <v>2</v>
      </c>
    </row>
    <row r="41" spans="2:23"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</row>
    <row r="42" spans="2:23">
      <c r="C42" s="12" t="s">
        <v>11</v>
      </c>
    </row>
    <row r="44" spans="2:23">
      <c r="B44" s="13" t="s">
        <v>13</v>
      </c>
    </row>
    <row r="45" spans="2:23">
      <c r="B45" s="5" t="s">
        <v>26</v>
      </c>
      <c r="C45" s="4"/>
    </row>
    <row r="46" spans="2:23">
      <c r="B46" s="5" t="s">
        <v>27</v>
      </c>
      <c r="C46" s="4"/>
    </row>
    <row r="47" spans="2:23">
      <c r="B47" s="5" t="s">
        <v>28</v>
      </c>
      <c r="C47" s="4"/>
    </row>
    <row r="48" spans="2:23">
      <c r="B48" s="5" t="s">
        <v>29</v>
      </c>
      <c r="C48" s="6"/>
    </row>
    <row r="49" spans="2:15">
      <c r="F49" s="8" t="str">
        <f t="shared" si="0"/>
        <v/>
      </c>
    </row>
    <row r="50" spans="2:15">
      <c r="B50" s="9" t="s">
        <v>30</v>
      </c>
      <c r="F50" s="8" t="str">
        <f t="shared" si="0"/>
        <v/>
      </c>
    </row>
    <row r="51" spans="2:15">
      <c r="B51" s="10" t="s">
        <v>31</v>
      </c>
      <c r="C51" s="6" t="e">
        <f>C45/C29-1</f>
        <v>#DIV/0!</v>
      </c>
      <c r="D51" s="6" t="e">
        <f t="shared" ref="D51:O51" si="1">D45/D29-1</f>
        <v>#DIV/0!</v>
      </c>
      <c r="E51" s="6" t="e">
        <f t="shared" si="1"/>
        <v>#DIV/0!</v>
      </c>
      <c r="F51" s="6" t="e">
        <f t="shared" si="1"/>
        <v>#DIV/0!</v>
      </c>
      <c r="G51" s="6" t="e">
        <f t="shared" si="1"/>
        <v>#DIV/0!</v>
      </c>
      <c r="H51" s="6" t="e">
        <f t="shared" si="1"/>
        <v>#DIV/0!</v>
      </c>
      <c r="I51" s="6" t="e">
        <f t="shared" si="1"/>
        <v>#DIV/0!</v>
      </c>
      <c r="J51" s="6" t="e">
        <f t="shared" si="1"/>
        <v>#DIV/0!</v>
      </c>
      <c r="K51" s="6" t="e">
        <f t="shared" si="1"/>
        <v>#DIV/0!</v>
      </c>
      <c r="L51" s="6" t="e">
        <f t="shared" si="1"/>
        <v>#DIV/0!</v>
      </c>
      <c r="M51" s="6" t="e">
        <f t="shared" si="1"/>
        <v>#DIV/0!</v>
      </c>
      <c r="N51" s="6" t="e">
        <f t="shared" si="1"/>
        <v>#DIV/0!</v>
      </c>
      <c r="O51" s="6" t="e">
        <f t="shared" si="1"/>
        <v>#DIV/0!</v>
      </c>
    </row>
    <row r="52" spans="2:15">
      <c r="B52" s="10" t="s">
        <v>32</v>
      </c>
      <c r="C52" s="6">
        <f>C29/C13-1</f>
        <v>-1</v>
      </c>
      <c r="D52" s="6">
        <f t="shared" ref="D52:O52" si="2">D29/D13-1</f>
        <v>-1</v>
      </c>
      <c r="E52" s="6">
        <f t="shared" si="2"/>
        <v>-1</v>
      </c>
      <c r="F52" s="6">
        <f t="shared" si="2"/>
        <v>-1</v>
      </c>
      <c r="G52" s="6">
        <f t="shared" si="2"/>
        <v>-1</v>
      </c>
      <c r="H52" s="6">
        <f t="shared" si="2"/>
        <v>-1</v>
      </c>
      <c r="I52" s="6">
        <f t="shared" si="2"/>
        <v>-1</v>
      </c>
      <c r="J52" s="6">
        <f t="shared" si="2"/>
        <v>-1</v>
      </c>
      <c r="K52" s="6">
        <f t="shared" si="2"/>
        <v>-1</v>
      </c>
      <c r="L52" s="6">
        <f t="shared" si="2"/>
        <v>-1</v>
      </c>
      <c r="M52" s="6">
        <f t="shared" si="2"/>
        <v>-1</v>
      </c>
      <c r="N52" s="6">
        <f t="shared" si="2"/>
        <v>-1</v>
      </c>
      <c r="O52" s="6">
        <f t="shared" si="2"/>
        <v>-1</v>
      </c>
    </row>
    <row r="53" spans="2:15">
      <c r="F53" s="8" t="str">
        <f t="shared" si="0"/>
        <v/>
      </c>
    </row>
    <row r="54" spans="2:15">
      <c r="F54" s="8" t="str">
        <f t="shared" si="0"/>
        <v/>
      </c>
    </row>
    <row r="55" spans="2:15">
      <c r="F55" s="8" t="str">
        <f t="shared" si="0"/>
        <v/>
      </c>
    </row>
    <row r="56" spans="2:15">
      <c r="F56" s="8" t="str">
        <f t="shared" si="0"/>
        <v/>
      </c>
      <c r="I56" t="s">
        <v>33</v>
      </c>
    </row>
    <row r="57" spans="2:15">
      <c r="F57" s="8" t="str">
        <f t="shared" si="0"/>
        <v/>
      </c>
    </row>
    <row r="58" spans="2:15">
      <c r="F58" s="8" t="str">
        <f t="shared" si="0"/>
        <v/>
      </c>
    </row>
    <row r="59" spans="2:15">
      <c r="F59" s="8" t="str">
        <f t="shared" si="0"/>
        <v/>
      </c>
    </row>
    <row r="60" spans="2:15">
      <c r="F60" s="8" t="str">
        <f t="shared" si="0"/>
        <v/>
      </c>
    </row>
    <row r="61" spans="2:15">
      <c r="F61" s="8" t="str">
        <f t="shared" si="0"/>
        <v/>
      </c>
    </row>
    <row r="62" spans="2:15">
      <c r="F62" s="8" t="str">
        <f t="shared" si="0"/>
        <v/>
      </c>
    </row>
    <row r="63" spans="2:15">
      <c r="F63" s="8" t="str">
        <f t="shared" si="0"/>
        <v/>
      </c>
    </row>
    <row r="64" spans="2:15">
      <c r="F64" s="8" t="str">
        <f t="shared" si="0"/>
        <v/>
      </c>
    </row>
    <row r="65" spans="6:6">
      <c r="F65" s="8" t="str">
        <f t="shared" si="0"/>
        <v/>
      </c>
    </row>
    <row r="66" spans="6:6">
      <c r="F66" s="8" t="str">
        <f t="shared" si="0"/>
        <v/>
      </c>
    </row>
    <row r="67" spans="6:6">
      <c r="F67" s="8" t="str">
        <f t="shared" si="0"/>
        <v/>
      </c>
    </row>
    <row r="68" spans="6:6">
      <c r="F68" s="8" t="str">
        <f t="shared" si="0"/>
        <v/>
      </c>
    </row>
    <row r="69" spans="6:6">
      <c r="F69" s="8" t="str">
        <f t="shared" si="0"/>
        <v/>
      </c>
    </row>
    <row r="70" spans="6:6">
      <c r="F70" s="8" t="str">
        <f t="shared" si="0"/>
        <v/>
      </c>
    </row>
    <row r="71" spans="6:6">
      <c r="F71" s="8" t="str">
        <f t="shared" si="0"/>
        <v/>
      </c>
    </row>
    <row r="72" spans="6:6">
      <c r="F72" s="8" t="str">
        <f t="shared" si="0"/>
        <v/>
      </c>
    </row>
    <row r="73" spans="6:6">
      <c r="F73" s="8" t="str">
        <f t="shared" si="0"/>
        <v/>
      </c>
    </row>
    <row r="74" spans="6:6">
      <c r="F74" s="8" t="str">
        <f t="shared" si="0"/>
        <v/>
      </c>
    </row>
    <row r="75" spans="6:6">
      <c r="F75" s="8" t="str">
        <f t="shared" si="0"/>
        <v/>
      </c>
    </row>
    <row r="76" spans="6:6">
      <c r="F76" s="8" t="str">
        <f t="shared" si="0"/>
        <v/>
      </c>
    </row>
    <row r="77" spans="6:6">
      <c r="F77" s="8" t="str">
        <f t="shared" si="0"/>
        <v/>
      </c>
    </row>
    <row r="78" spans="6:6">
      <c r="F78" s="8" t="str">
        <f t="shared" si="0"/>
        <v/>
      </c>
    </row>
    <row r="79" spans="6:6">
      <c r="F79" s="8" t="str">
        <f t="shared" si="0"/>
        <v/>
      </c>
    </row>
    <row r="80" spans="6:6">
      <c r="F80" s="8" t="str">
        <f t="shared" si="0"/>
        <v/>
      </c>
    </row>
    <row r="81" spans="6:6">
      <c r="F81" s="8" t="str">
        <f t="shared" si="0"/>
        <v/>
      </c>
    </row>
    <row r="82" spans="6:6">
      <c r="F82" s="8" t="str">
        <f t="shared" ref="F82:F145" si="3">IFERROR(E82/D82-1,"")</f>
        <v/>
      </c>
    </row>
    <row r="83" spans="6:6">
      <c r="F83" s="8" t="str">
        <f t="shared" si="3"/>
        <v/>
      </c>
    </row>
    <row r="84" spans="6:6">
      <c r="F84" s="8" t="str">
        <f t="shared" si="3"/>
        <v/>
      </c>
    </row>
    <row r="85" spans="6:6">
      <c r="F85" s="8" t="str">
        <f t="shared" si="3"/>
        <v/>
      </c>
    </row>
    <row r="86" spans="6:6">
      <c r="F86" s="8" t="str">
        <f t="shared" si="3"/>
        <v/>
      </c>
    </row>
    <row r="87" spans="6:6">
      <c r="F87" s="8" t="str">
        <f t="shared" si="3"/>
        <v/>
      </c>
    </row>
    <row r="88" spans="6:6">
      <c r="F88" s="8" t="str">
        <f t="shared" si="3"/>
        <v/>
      </c>
    </row>
    <row r="89" spans="6:6">
      <c r="F89" s="8" t="str">
        <f t="shared" si="3"/>
        <v/>
      </c>
    </row>
    <row r="90" spans="6:6">
      <c r="F90" s="8" t="str">
        <f t="shared" si="3"/>
        <v/>
      </c>
    </row>
    <row r="91" spans="6:6">
      <c r="F91" s="8" t="str">
        <f t="shared" si="3"/>
        <v/>
      </c>
    </row>
    <row r="92" spans="6:6">
      <c r="F92" s="8" t="str">
        <f t="shared" si="3"/>
        <v/>
      </c>
    </row>
    <row r="93" spans="6:6">
      <c r="F93" s="8" t="str">
        <f t="shared" si="3"/>
        <v/>
      </c>
    </row>
    <row r="94" spans="6:6">
      <c r="F94" s="8" t="str">
        <f t="shared" si="3"/>
        <v/>
      </c>
    </row>
    <row r="95" spans="6:6">
      <c r="F95" s="8" t="str">
        <f t="shared" si="3"/>
        <v/>
      </c>
    </row>
    <row r="96" spans="6:6">
      <c r="F96" s="8" t="str">
        <f t="shared" si="3"/>
        <v/>
      </c>
    </row>
    <row r="97" spans="6:6">
      <c r="F97" s="8" t="str">
        <f t="shared" si="3"/>
        <v/>
      </c>
    </row>
    <row r="98" spans="6:6">
      <c r="F98" s="8" t="str">
        <f t="shared" si="3"/>
        <v/>
      </c>
    </row>
    <row r="99" spans="6:6">
      <c r="F99" s="8" t="str">
        <f t="shared" si="3"/>
        <v/>
      </c>
    </row>
    <row r="100" spans="6:6">
      <c r="F100" s="8" t="str">
        <f t="shared" si="3"/>
        <v/>
      </c>
    </row>
    <row r="101" spans="6:6">
      <c r="F101" s="8" t="str">
        <f t="shared" si="3"/>
        <v/>
      </c>
    </row>
    <row r="102" spans="6:6">
      <c r="F102" s="8" t="str">
        <f t="shared" si="3"/>
        <v/>
      </c>
    </row>
    <row r="103" spans="6:6">
      <c r="F103" s="8" t="str">
        <f t="shared" si="3"/>
        <v/>
      </c>
    </row>
    <row r="104" spans="6:6">
      <c r="F104" s="8" t="str">
        <f t="shared" si="3"/>
        <v/>
      </c>
    </row>
    <row r="105" spans="6:6">
      <c r="F105" s="8" t="str">
        <f t="shared" si="3"/>
        <v/>
      </c>
    </row>
    <row r="106" spans="6:6">
      <c r="F106" s="8" t="str">
        <f t="shared" si="3"/>
        <v/>
      </c>
    </row>
    <row r="107" spans="6:6">
      <c r="F107" s="8" t="str">
        <f t="shared" si="3"/>
        <v/>
      </c>
    </row>
    <row r="108" spans="6:6">
      <c r="F108" s="8" t="str">
        <f t="shared" si="3"/>
        <v/>
      </c>
    </row>
    <row r="109" spans="6:6">
      <c r="F109" s="8" t="str">
        <f t="shared" si="3"/>
        <v/>
      </c>
    </row>
    <row r="110" spans="6:6">
      <c r="F110" s="8" t="str">
        <f t="shared" si="3"/>
        <v/>
      </c>
    </row>
    <row r="111" spans="6:6">
      <c r="F111" s="8" t="str">
        <f t="shared" si="3"/>
        <v/>
      </c>
    </row>
    <row r="112" spans="6:6">
      <c r="F112" s="8" t="str">
        <f t="shared" si="3"/>
        <v/>
      </c>
    </row>
    <row r="113" spans="6:6">
      <c r="F113" s="8" t="str">
        <f t="shared" si="3"/>
        <v/>
      </c>
    </row>
    <row r="114" spans="6:6">
      <c r="F114" s="8" t="str">
        <f t="shared" si="3"/>
        <v/>
      </c>
    </row>
    <row r="115" spans="6:6">
      <c r="F115" s="8" t="str">
        <f t="shared" si="3"/>
        <v/>
      </c>
    </row>
    <row r="116" spans="6:6">
      <c r="F116" s="8" t="str">
        <f t="shared" si="3"/>
        <v/>
      </c>
    </row>
    <row r="117" spans="6:6">
      <c r="F117" s="8" t="str">
        <f t="shared" si="3"/>
        <v/>
      </c>
    </row>
    <row r="118" spans="6:6">
      <c r="F118" s="8" t="str">
        <f t="shared" si="3"/>
        <v/>
      </c>
    </row>
    <row r="119" spans="6:6">
      <c r="F119" s="8" t="str">
        <f t="shared" si="3"/>
        <v/>
      </c>
    </row>
    <row r="120" spans="6:6">
      <c r="F120" s="8" t="str">
        <f t="shared" si="3"/>
        <v/>
      </c>
    </row>
    <row r="121" spans="6:6">
      <c r="F121" s="8" t="str">
        <f t="shared" si="3"/>
        <v/>
      </c>
    </row>
    <row r="122" spans="6:6">
      <c r="F122" s="8" t="str">
        <f t="shared" si="3"/>
        <v/>
      </c>
    </row>
    <row r="123" spans="6:6">
      <c r="F123" s="8" t="str">
        <f t="shared" si="3"/>
        <v/>
      </c>
    </row>
    <row r="124" spans="6:6">
      <c r="F124" s="8" t="str">
        <f t="shared" si="3"/>
        <v/>
      </c>
    </row>
    <row r="125" spans="6:6">
      <c r="F125" s="8" t="str">
        <f t="shared" si="3"/>
        <v/>
      </c>
    </row>
    <row r="126" spans="6:6">
      <c r="F126" s="8" t="str">
        <f t="shared" si="3"/>
        <v/>
      </c>
    </row>
    <row r="127" spans="6:6">
      <c r="F127" s="8" t="str">
        <f t="shared" si="3"/>
        <v/>
      </c>
    </row>
    <row r="128" spans="6:6">
      <c r="F128" s="8" t="str">
        <f t="shared" si="3"/>
        <v/>
      </c>
    </row>
    <row r="129" spans="6:6">
      <c r="F129" s="8" t="str">
        <f t="shared" si="3"/>
        <v/>
      </c>
    </row>
    <row r="130" spans="6:6">
      <c r="F130" s="8" t="str">
        <f t="shared" si="3"/>
        <v/>
      </c>
    </row>
    <row r="131" spans="6:6">
      <c r="F131" s="8" t="str">
        <f t="shared" si="3"/>
        <v/>
      </c>
    </row>
    <row r="132" spans="6:6">
      <c r="F132" s="8" t="str">
        <f t="shared" si="3"/>
        <v/>
      </c>
    </row>
    <row r="133" spans="6:6">
      <c r="F133" s="8" t="str">
        <f t="shared" si="3"/>
        <v/>
      </c>
    </row>
    <row r="134" spans="6:6">
      <c r="F134" s="8" t="str">
        <f t="shared" si="3"/>
        <v/>
      </c>
    </row>
    <row r="135" spans="6:6">
      <c r="F135" s="8" t="str">
        <f t="shared" si="3"/>
        <v/>
      </c>
    </row>
    <row r="136" spans="6:6">
      <c r="F136" s="8" t="str">
        <f t="shared" si="3"/>
        <v/>
      </c>
    </row>
    <row r="137" spans="6:6">
      <c r="F137" s="8" t="str">
        <f t="shared" si="3"/>
        <v/>
      </c>
    </row>
    <row r="138" spans="6:6">
      <c r="F138" s="8" t="str">
        <f t="shared" si="3"/>
        <v/>
      </c>
    </row>
    <row r="139" spans="6:6">
      <c r="F139" s="8" t="str">
        <f t="shared" si="3"/>
        <v/>
      </c>
    </row>
    <row r="140" spans="6:6">
      <c r="F140" s="8" t="str">
        <f t="shared" si="3"/>
        <v/>
      </c>
    </row>
    <row r="141" spans="6:6">
      <c r="F141" s="8" t="str">
        <f t="shared" si="3"/>
        <v/>
      </c>
    </row>
    <row r="142" spans="6:6">
      <c r="F142" s="8" t="str">
        <f t="shared" si="3"/>
        <v/>
      </c>
    </row>
    <row r="143" spans="6:6">
      <c r="F143" s="8" t="str">
        <f t="shared" si="3"/>
        <v/>
      </c>
    </row>
    <row r="144" spans="6:6">
      <c r="F144" s="8" t="str">
        <f t="shared" si="3"/>
        <v/>
      </c>
    </row>
    <row r="145" spans="6:6">
      <c r="F145" s="8" t="str">
        <f t="shared" si="3"/>
        <v/>
      </c>
    </row>
    <row r="146" spans="6:6">
      <c r="F146" s="8" t="str">
        <f t="shared" ref="F146:F209" si="4">IFERROR(E146/D146-1,"")</f>
        <v/>
      </c>
    </row>
    <row r="147" spans="6:6">
      <c r="F147" s="8" t="str">
        <f t="shared" si="4"/>
        <v/>
      </c>
    </row>
    <row r="148" spans="6:6">
      <c r="F148" s="8" t="str">
        <f t="shared" si="4"/>
        <v/>
      </c>
    </row>
    <row r="149" spans="6:6">
      <c r="F149" s="8" t="str">
        <f t="shared" si="4"/>
        <v/>
      </c>
    </row>
    <row r="150" spans="6:6">
      <c r="F150" s="8" t="str">
        <f t="shared" si="4"/>
        <v/>
      </c>
    </row>
    <row r="151" spans="6:6">
      <c r="F151" s="8" t="str">
        <f t="shared" si="4"/>
        <v/>
      </c>
    </row>
    <row r="152" spans="6:6">
      <c r="F152" s="8" t="str">
        <f t="shared" si="4"/>
        <v/>
      </c>
    </row>
    <row r="153" spans="6:6">
      <c r="F153" s="8" t="str">
        <f t="shared" si="4"/>
        <v/>
      </c>
    </row>
    <row r="154" spans="6:6">
      <c r="F154" s="8" t="str">
        <f t="shared" si="4"/>
        <v/>
      </c>
    </row>
    <row r="155" spans="6:6">
      <c r="F155" s="8" t="str">
        <f t="shared" si="4"/>
        <v/>
      </c>
    </row>
    <row r="156" spans="6:6">
      <c r="F156" s="8" t="str">
        <f t="shared" si="4"/>
        <v/>
      </c>
    </row>
    <row r="157" spans="6:6">
      <c r="F157" s="8" t="str">
        <f t="shared" si="4"/>
        <v/>
      </c>
    </row>
    <row r="158" spans="6:6">
      <c r="F158" s="8" t="str">
        <f t="shared" si="4"/>
        <v/>
      </c>
    </row>
    <row r="159" spans="6:6">
      <c r="F159" s="8" t="str">
        <f t="shared" si="4"/>
        <v/>
      </c>
    </row>
    <row r="160" spans="6:6">
      <c r="F160" s="8" t="str">
        <f t="shared" si="4"/>
        <v/>
      </c>
    </row>
    <row r="161" spans="6:6">
      <c r="F161" s="8" t="str">
        <f t="shared" si="4"/>
        <v/>
      </c>
    </row>
    <row r="162" spans="6:6">
      <c r="F162" s="8" t="str">
        <f t="shared" si="4"/>
        <v/>
      </c>
    </row>
    <row r="163" spans="6:6">
      <c r="F163" s="8" t="str">
        <f t="shared" si="4"/>
        <v/>
      </c>
    </row>
    <row r="164" spans="6:6">
      <c r="F164" s="8" t="str">
        <f t="shared" si="4"/>
        <v/>
      </c>
    </row>
    <row r="165" spans="6:6">
      <c r="F165" s="8" t="str">
        <f t="shared" si="4"/>
        <v/>
      </c>
    </row>
    <row r="166" spans="6:6">
      <c r="F166" s="8" t="str">
        <f t="shared" si="4"/>
        <v/>
      </c>
    </row>
    <row r="167" spans="6:6">
      <c r="F167" s="8" t="str">
        <f t="shared" si="4"/>
        <v/>
      </c>
    </row>
    <row r="168" spans="6:6">
      <c r="F168" s="8" t="str">
        <f t="shared" si="4"/>
        <v/>
      </c>
    </row>
    <row r="169" spans="6:6">
      <c r="F169" s="8" t="str">
        <f t="shared" si="4"/>
        <v/>
      </c>
    </row>
    <row r="170" spans="6:6">
      <c r="F170" s="8" t="str">
        <f t="shared" si="4"/>
        <v/>
      </c>
    </row>
    <row r="171" spans="6:6">
      <c r="F171" s="8" t="str">
        <f t="shared" si="4"/>
        <v/>
      </c>
    </row>
    <row r="172" spans="6:6">
      <c r="F172" s="8" t="str">
        <f t="shared" si="4"/>
        <v/>
      </c>
    </row>
    <row r="173" spans="6:6">
      <c r="F173" s="8" t="str">
        <f t="shared" si="4"/>
        <v/>
      </c>
    </row>
    <row r="174" spans="6:6">
      <c r="F174" s="8" t="str">
        <f t="shared" si="4"/>
        <v/>
      </c>
    </row>
    <row r="175" spans="6:6">
      <c r="F175" s="8" t="str">
        <f t="shared" si="4"/>
        <v/>
      </c>
    </row>
    <row r="176" spans="6:6">
      <c r="F176" s="8" t="str">
        <f t="shared" si="4"/>
        <v/>
      </c>
    </row>
    <row r="177" spans="6:6">
      <c r="F177" s="8" t="str">
        <f t="shared" si="4"/>
        <v/>
      </c>
    </row>
    <row r="178" spans="6:6">
      <c r="F178" s="8" t="str">
        <f t="shared" si="4"/>
        <v/>
      </c>
    </row>
    <row r="179" spans="6:6">
      <c r="F179" s="8" t="str">
        <f t="shared" si="4"/>
        <v/>
      </c>
    </row>
    <row r="180" spans="6:6">
      <c r="F180" s="8" t="str">
        <f t="shared" si="4"/>
        <v/>
      </c>
    </row>
    <row r="181" spans="6:6">
      <c r="F181" s="8" t="str">
        <f t="shared" si="4"/>
        <v/>
      </c>
    </row>
    <row r="182" spans="6:6">
      <c r="F182" s="8" t="str">
        <f t="shared" si="4"/>
        <v/>
      </c>
    </row>
    <row r="183" spans="6:6">
      <c r="F183" s="8" t="str">
        <f t="shared" si="4"/>
        <v/>
      </c>
    </row>
    <row r="184" spans="6:6">
      <c r="F184" s="8" t="str">
        <f t="shared" si="4"/>
        <v/>
      </c>
    </row>
    <row r="185" spans="6:6">
      <c r="F185" s="8" t="str">
        <f t="shared" si="4"/>
        <v/>
      </c>
    </row>
    <row r="186" spans="6:6">
      <c r="F186" s="8" t="str">
        <f t="shared" si="4"/>
        <v/>
      </c>
    </row>
    <row r="187" spans="6:6">
      <c r="F187" s="8" t="str">
        <f t="shared" si="4"/>
        <v/>
      </c>
    </row>
    <row r="188" spans="6:6">
      <c r="F188" s="8" t="str">
        <f t="shared" si="4"/>
        <v/>
      </c>
    </row>
    <row r="189" spans="6:6">
      <c r="F189" s="8" t="str">
        <f t="shared" si="4"/>
        <v/>
      </c>
    </row>
    <row r="190" spans="6:6">
      <c r="F190" s="8" t="str">
        <f t="shared" si="4"/>
        <v/>
      </c>
    </row>
    <row r="191" spans="6:6">
      <c r="F191" s="8" t="str">
        <f t="shared" si="4"/>
        <v/>
      </c>
    </row>
    <row r="192" spans="6:6">
      <c r="F192" s="8" t="str">
        <f t="shared" si="4"/>
        <v/>
      </c>
    </row>
    <row r="193" spans="6:6">
      <c r="F193" s="8" t="str">
        <f t="shared" si="4"/>
        <v/>
      </c>
    </row>
    <row r="194" spans="6:6">
      <c r="F194" s="8" t="str">
        <f t="shared" si="4"/>
        <v/>
      </c>
    </row>
    <row r="195" spans="6:6">
      <c r="F195" s="8" t="str">
        <f t="shared" si="4"/>
        <v/>
      </c>
    </row>
    <row r="196" spans="6:6">
      <c r="F196" s="8" t="str">
        <f t="shared" si="4"/>
        <v/>
      </c>
    </row>
    <row r="197" spans="6:6">
      <c r="F197" s="8" t="str">
        <f t="shared" si="4"/>
        <v/>
      </c>
    </row>
    <row r="198" spans="6:6">
      <c r="F198" s="8" t="str">
        <f t="shared" si="4"/>
        <v/>
      </c>
    </row>
    <row r="199" spans="6:6">
      <c r="F199" s="8" t="str">
        <f t="shared" si="4"/>
        <v/>
      </c>
    </row>
    <row r="200" spans="6:6">
      <c r="F200" s="8" t="str">
        <f t="shared" si="4"/>
        <v/>
      </c>
    </row>
    <row r="201" spans="6:6">
      <c r="F201" s="8" t="str">
        <f t="shared" si="4"/>
        <v/>
      </c>
    </row>
    <row r="202" spans="6:6">
      <c r="F202" s="8" t="str">
        <f t="shared" si="4"/>
        <v/>
      </c>
    </row>
    <row r="203" spans="6:6">
      <c r="F203" s="8" t="str">
        <f t="shared" si="4"/>
        <v/>
      </c>
    </row>
    <row r="204" spans="6:6">
      <c r="F204" s="8" t="str">
        <f t="shared" si="4"/>
        <v/>
      </c>
    </row>
    <row r="205" spans="6:6">
      <c r="F205" s="8" t="str">
        <f t="shared" si="4"/>
        <v/>
      </c>
    </row>
    <row r="206" spans="6:6">
      <c r="F206" s="8" t="str">
        <f t="shared" si="4"/>
        <v/>
      </c>
    </row>
    <row r="207" spans="6:6">
      <c r="F207" s="8" t="str">
        <f t="shared" si="4"/>
        <v/>
      </c>
    </row>
    <row r="208" spans="6:6">
      <c r="F208" s="8" t="str">
        <f t="shared" si="4"/>
        <v/>
      </c>
    </row>
    <row r="209" spans="6:6">
      <c r="F209" s="8" t="str">
        <f t="shared" si="4"/>
        <v/>
      </c>
    </row>
    <row r="210" spans="6:6">
      <c r="F210" s="8" t="str">
        <f t="shared" ref="F210:F273" si="5">IFERROR(E210/D210-1,"")</f>
        <v/>
      </c>
    </row>
    <row r="211" spans="6:6">
      <c r="F211" s="8" t="str">
        <f t="shared" si="5"/>
        <v/>
      </c>
    </row>
    <row r="212" spans="6:6">
      <c r="F212" s="8" t="str">
        <f t="shared" si="5"/>
        <v/>
      </c>
    </row>
    <row r="213" spans="6:6">
      <c r="F213" s="8" t="str">
        <f t="shared" si="5"/>
        <v/>
      </c>
    </row>
    <row r="214" spans="6:6">
      <c r="F214" s="8" t="str">
        <f t="shared" si="5"/>
        <v/>
      </c>
    </row>
    <row r="215" spans="6:6">
      <c r="F215" s="8" t="str">
        <f t="shared" si="5"/>
        <v/>
      </c>
    </row>
    <row r="216" spans="6:6">
      <c r="F216" s="8" t="str">
        <f t="shared" si="5"/>
        <v/>
      </c>
    </row>
    <row r="217" spans="6:6">
      <c r="F217" s="8" t="str">
        <f t="shared" si="5"/>
        <v/>
      </c>
    </row>
    <row r="218" spans="6:6">
      <c r="F218" s="8" t="str">
        <f t="shared" si="5"/>
        <v/>
      </c>
    </row>
    <row r="219" spans="6:6">
      <c r="F219" s="8" t="str">
        <f t="shared" si="5"/>
        <v/>
      </c>
    </row>
    <row r="220" spans="6:6">
      <c r="F220" s="8" t="str">
        <f t="shared" si="5"/>
        <v/>
      </c>
    </row>
    <row r="221" spans="6:6">
      <c r="F221" s="8" t="str">
        <f t="shared" si="5"/>
        <v/>
      </c>
    </row>
    <row r="222" spans="6:6">
      <c r="F222" s="8" t="str">
        <f t="shared" si="5"/>
        <v/>
      </c>
    </row>
    <row r="223" spans="6:6">
      <c r="F223" s="8" t="str">
        <f t="shared" si="5"/>
        <v/>
      </c>
    </row>
    <row r="224" spans="6:6">
      <c r="F224" s="8" t="str">
        <f t="shared" si="5"/>
        <v/>
      </c>
    </row>
    <row r="225" spans="6:6">
      <c r="F225" s="8" t="str">
        <f t="shared" si="5"/>
        <v/>
      </c>
    </row>
    <row r="226" spans="6:6">
      <c r="F226" s="8" t="str">
        <f t="shared" si="5"/>
        <v/>
      </c>
    </row>
    <row r="227" spans="6:6">
      <c r="F227" s="8" t="str">
        <f t="shared" si="5"/>
        <v/>
      </c>
    </row>
    <row r="228" spans="6:6">
      <c r="F228" s="8" t="str">
        <f t="shared" si="5"/>
        <v/>
      </c>
    </row>
    <row r="229" spans="6:6">
      <c r="F229" s="8" t="str">
        <f t="shared" si="5"/>
        <v/>
      </c>
    </row>
    <row r="230" spans="6:6">
      <c r="F230" s="8" t="str">
        <f t="shared" si="5"/>
        <v/>
      </c>
    </row>
    <row r="231" spans="6:6">
      <c r="F231" s="8" t="str">
        <f t="shared" si="5"/>
        <v/>
      </c>
    </row>
    <row r="232" spans="6:6">
      <c r="F232" s="8" t="str">
        <f t="shared" si="5"/>
        <v/>
      </c>
    </row>
    <row r="233" spans="6:6">
      <c r="F233" s="8" t="str">
        <f t="shared" si="5"/>
        <v/>
      </c>
    </row>
    <row r="234" spans="6:6">
      <c r="F234" s="8" t="str">
        <f t="shared" si="5"/>
        <v/>
      </c>
    </row>
    <row r="235" spans="6:6">
      <c r="F235" s="8" t="str">
        <f t="shared" si="5"/>
        <v/>
      </c>
    </row>
    <row r="236" spans="6:6">
      <c r="F236" s="8" t="str">
        <f t="shared" si="5"/>
        <v/>
      </c>
    </row>
    <row r="237" spans="6:6">
      <c r="F237" s="8" t="str">
        <f t="shared" si="5"/>
        <v/>
      </c>
    </row>
    <row r="238" spans="6:6">
      <c r="F238" s="8" t="str">
        <f t="shared" si="5"/>
        <v/>
      </c>
    </row>
    <row r="239" spans="6:6">
      <c r="F239" s="8" t="str">
        <f t="shared" si="5"/>
        <v/>
      </c>
    </row>
    <row r="240" spans="6:6">
      <c r="F240" s="8" t="str">
        <f t="shared" si="5"/>
        <v/>
      </c>
    </row>
    <row r="241" spans="6:6">
      <c r="F241" s="8" t="str">
        <f t="shared" si="5"/>
        <v/>
      </c>
    </row>
    <row r="242" spans="6:6">
      <c r="F242" s="8" t="str">
        <f t="shared" si="5"/>
        <v/>
      </c>
    </row>
    <row r="243" spans="6:6">
      <c r="F243" s="8" t="str">
        <f t="shared" si="5"/>
        <v/>
      </c>
    </row>
    <row r="244" spans="6:6">
      <c r="F244" s="8" t="str">
        <f t="shared" si="5"/>
        <v/>
      </c>
    </row>
    <row r="245" spans="6:6">
      <c r="F245" s="8" t="str">
        <f t="shared" si="5"/>
        <v/>
      </c>
    </row>
    <row r="246" spans="6:6">
      <c r="F246" s="8" t="str">
        <f t="shared" si="5"/>
        <v/>
      </c>
    </row>
    <row r="247" spans="6:6">
      <c r="F247" s="8" t="str">
        <f t="shared" si="5"/>
        <v/>
      </c>
    </row>
    <row r="248" spans="6:6">
      <c r="F248" s="8" t="str">
        <f t="shared" si="5"/>
        <v/>
      </c>
    </row>
    <row r="249" spans="6:6">
      <c r="F249" s="8" t="str">
        <f t="shared" si="5"/>
        <v/>
      </c>
    </row>
    <row r="250" spans="6:6">
      <c r="F250" s="8" t="str">
        <f t="shared" si="5"/>
        <v/>
      </c>
    </row>
    <row r="251" spans="6:6">
      <c r="F251" s="8" t="str">
        <f t="shared" si="5"/>
        <v/>
      </c>
    </row>
    <row r="252" spans="6:6">
      <c r="F252" s="8" t="str">
        <f t="shared" si="5"/>
        <v/>
      </c>
    </row>
    <row r="253" spans="6:6">
      <c r="F253" s="8" t="str">
        <f t="shared" si="5"/>
        <v/>
      </c>
    </row>
    <row r="254" spans="6:6">
      <c r="F254" s="8" t="str">
        <f t="shared" si="5"/>
        <v/>
      </c>
    </row>
    <row r="255" spans="6:6">
      <c r="F255" s="8" t="str">
        <f t="shared" si="5"/>
        <v/>
      </c>
    </row>
    <row r="256" spans="6:6">
      <c r="F256" s="8" t="str">
        <f t="shared" si="5"/>
        <v/>
      </c>
    </row>
    <row r="257" spans="6:6">
      <c r="F257" s="8" t="str">
        <f t="shared" si="5"/>
        <v/>
      </c>
    </row>
    <row r="258" spans="6:6">
      <c r="F258" s="8" t="str">
        <f t="shared" si="5"/>
        <v/>
      </c>
    </row>
    <row r="259" spans="6:6">
      <c r="F259" s="8" t="str">
        <f t="shared" si="5"/>
        <v/>
      </c>
    </row>
    <row r="260" spans="6:6">
      <c r="F260" s="8" t="str">
        <f t="shared" si="5"/>
        <v/>
      </c>
    </row>
    <row r="261" spans="6:6">
      <c r="F261" s="8" t="str">
        <f t="shared" si="5"/>
        <v/>
      </c>
    </row>
    <row r="262" spans="6:6">
      <c r="F262" s="8" t="str">
        <f t="shared" si="5"/>
        <v/>
      </c>
    </row>
    <row r="263" spans="6:6">
      <c r="F263" s="8" t="str">
        <f t="shared" si="5"/>
        <v/>
      </c>
    </row>
    <row r="264" spans="6:6">
      <c r="F264" s="8" t="str">
        <f t="shared" si="5"/>
        <v/>
      </c>
    </row>
    <row r="265" spans="6:6">
      <c r="F265" s="8" t="str">
        <f t="shared" si="5"/>
        <v/>
      </c>
    </row>
    <row r="266" spans="6:6">
      <c r="F266" s="8" t="str">
        <f t="shared" si="5"/>
        <v/>
      </c>
    </row>
    <row r="267" spans="6:6">
      <c r="F267" s="8" t="str">
        <f t="shared" si="5"/>
        <v/>
      </c>
    </row>
    <row r="268" spans="6:6">
      <c r="F268" s="8" t="str">
        <f t="shared" si="5"/>
        <v/>
      </c>
    </row>
    <row r="269" spans="6:6">
      <c r="F269" s="8" t="str">
        <f t="shared" si="5"/>
        <v/>
      </c>
    </row>
    <row r="270" spans="6:6">
      <c r="F270" s="8" t="str">
        <f t="shared" si="5"/>
        <v/>
      </c>
    </row>
    <row r="271" spans="6:6">
      <c r="F271" s="8" t="str">
        <f t="shared" si="5"/>
        <v/>
      </c>
    </row>
    <row r="272" spans="6:6">
      <c r="F272" s="8" t="str">
        <f t="shared" si="5"/>
        <v/>
      </c>
    </row>
    <row r="273" spans="6:6">
      <c r="F273" s="8" t="str">
        <f t="shared" si="5"/>
        <v/>
      </c>
    </row>
    <row r="274" spans="6:6">
      <c r="F274" s="8" t="str">
        <f t="shared" ref="F274:F337" si="6">IFERROR(E274/D274-1,"")</f>
        <v/>
      </c>
    </row>
    <row r="275" spans="6:6">
      <c r="F275" s="8" t="str">
        <f t="shared" si="6"/>
        <v/>
      </c>
    </row>
    <row r="276" spans="6:6">
      <c r="F276" s="8" t="str">
        <f t="shared" si="6"/>
        <v/>
      </c>
    </row>
    <row r="277" spans="6:6">
      <c r="F277" s="8" t="str">
        <f t="shared" si="6"/>
        <v/>
      </c>
    </row>
    <row r="278" spans="6:6">
      <c r="F278" s="8" t="str">
        <f t="shared" si="6"/>
        <v/>
      </c>
    </row>
    <row r="279" spans="6:6">
      <c r="F279" s="8" t="str">
        <f t="shared" si="6"/>
        <v/>
      </c>
    </row>
    <row r="280" spans="6:6">
      <c r="F280" s="8" t="str">
        <f t="shared" si="6"/>
        <v/>
      </c>
    </row>
    <row r="281" spans="6:6">
      <c r="F281" s="8" t="str">
        <f t="shared" si="6"/>
        <v/>
      </c>
    </row>
    <row r="282" spans="6:6">
      <c r="F282" s="8" t="str">
        <f t="shared" si="6"/>
        <v/>
      </c>
    </row>
    <row r="283" spans="6:6">
      <c r="F283" s="8" t="str">
        <f t="shared" si="6"/>
        <v/>
      </c>
    </row>
    <row r="284" spans="6:6">
      <c r="F284" s="8" t="str">
        <f t="shared" si="6"/>
        <v/>
      </c>
    </row>
    <row r="285" spans="6:6">
      <c r="F285" s="8" t="str">
        <f t="shared" si="6"/>
        <v/>
      </c>
    </row>
    <row r="286" spans="6:6">
      <c r="F286" s="8" t="str">
        <f t="shared" si="6"/>
        <v/>
      </c>
    </row>
    <row r="287" spans="6:6">
      <c r="F287" s="8" t="str">
        <f t="shared" si="6"/>
        <v/>
      </c>
    </row>
    <row r="288" spans="6:6">
      <c r="F288" s="8" t="str">
        <f t="shared" si="6"/>
        <v/>
      </c>
    </row>
    <row r="289" spans="6:6">
      <c r="F289" s="8" t="str">
        <f t="shared" si="6"/>
        <v/>
      </c>
    </row>
    <row r="290" spans="6:6">
      <c r="F290" s="8" t="str">
        <f t="shared" si="6"/>
        <v/>
      </c>
    </row>
    <row r="291" spans="6:6">
      <c r="F291" s="8" t="str">
        <f t="shared" si="6"/>
        <v/>
      </c>
    </row>
    <row r="292" spans="6:6">
      <c r="F292" s="8" t="str">
        <f t="shared" si="6"/>
        <v/>
      </c>
    </row>
    <row r="293" spans="6:6">
      <c r="F293" s="8" t="str">
        <f t="shared" si="6"/>
        <v/>
      </c>
    </row>
    <row r="294" spans="6:6">
      <c r="F294" s="8" t="str">
        <f t="shared" si="6"/>
        <v/>
      </c>
    </row>
    <row r="295" spans="6:6">
      <c r="F295" s="8" t="str">
        <f t="shared" si="6"/>
        <v/>
      </c>
    </row>
    <row r="296" spans="6:6">
      <c r="F296" s="8" t="str">
        <f t="shared" si="6"/>
        <v/>
      </c>
    </row>
    <row r="297" spans="6:6">
      <c r="F297" s="8" t="str">
        <f t="shared" si="6"/>
        <v/>
      </c>
    </row>
    <row r="298" spans="6:6">
      <c r="F298" s="8" t="str">
        <f t="shared" si="6"/>
        <v/>
      </c>
    </row>
    <row r="299" spans="6:6">
      <c r="F299" s="8" t="str">
        <f t="shared" si="6"/>
        <v/>
      </c>
    </row>
    <row r="300" spans="6:6">
      <c r="F300" s="8" t="str">
        <f t="shared" si="6"/>
        <v/>
      </c>
    </row>
    <row r="301" spans="6:6">
      <c r="F301" s="8" t="str">
        <f t="shared" si="6"/>
        <v/>
      </c>
    </row>
    <row r="302" spans="6:6">
      <c r="F302" s="8" t="str">
        <f t="shared" si="6"/>
        <v/>
      </c>
    </row>
    <row r="303" spans="6:6">
      <c r="F303" s="8" t="str">
        <f t="shared" si="6"/>
        <v/>
      </c>
    </row>
    <row r="304" spans="6:6">
      <c r="F304" s="8" t="str">
        <f t="shared" si="6"/>
        <v/>
      </c>
    </row>
    <row r="305" spans="6:6">
      <c r="F305" s="8" t="str">
        <f t="shared" si="6"/>
        <v/>
      </c>
    </row>
    <row r="306" spans="6:6">
      <c r="F306" s="8" t="str">
        <f t="shared" si="6"/>
        <v/>
      </c>
    </row>
    <row r="307" spans="6:6">
      <c r="F307" s="8" t="str">
        <f t="shared" si="6"/>
        <v/>
      </c>
    </row>
    <row r="308" spans="6:6">
      <c r="F308" s="8" t="str">
        <f t="shared" si="6"/>
        <v/>
      </c>
    </row>
    <row r="309" spans="6:6">
      <c r="F309" s="8" t="str">
        <f t="shared" si="6"/>
        <v/>
      </c>
    </row>
    <row r="310" spans="6:6">
      <c r="F310" s="8" t="str">
        <f t="shared" si="6"/>
        <v/>
      </c>
    </row>
    <row r="311" spans="6:6">
      <c r="F311" s="8" t="str">
        <f t="shared" si="6"/>
        <v/>
      </c>
    </row>
    <row r="312" spans="6:6">
      <c r="F312" s="8" t="str">
        <f t="shared" si="6"/>
        <v/>
      </c>
    </row>
    <row r="313" spans="6:6">
      <c r="F313" s="8" t="str">
        <f t="shared" si="6"/>
        <v/>
      </c>
    </row>
    <row r="314" spans="6:6">
      <c r="F314" s="8" t="str">
        <f t="shared" si="6"/>
        <v/>
      </c>
    </row>
    <row r="315" spans="6:6">
      <c r="F315" s="8" t="str">
        <f t="shared" si="6"/>
        <v/>
      </c>
    </row>
    <row r="316" spans="6:6">
      <c r="F316" s="8" t="str">
        <f t="shared" si="6"/>
        <v/>
      </c>
    </row>
    <row r="317" spans="6:6">
      <c r="F317" s="8" t="str">
        <f t="shared" si="6"/>
        <v/>
      </c>
    </row>
    <row r="318" spans="6:6">
      <c r="F318" s="8" t="str">
        <f t="shared" si="6"/>
        <v/>
      </c>
    </row>
    <row r="319" spans="6:6">
      <c r="F319" s="8" t="str">
        <f t="shared" si="6"/>
        <v/>
      </c>
    </row>
    <row r="320" spans="6:6">
      <c r="F320" s="8" t="str">
        <f t="shared" si="6"/>
        <v/>
      </c>
    </row>
    <row r="321" spans="6:6">
      <c r="F321" s="8" t="str">
        <f t="shared" si="6"/>
        <v/>
      </c>
    </row>
    <row r="322" spans="6:6">
      <c r="F322" s="8" t="str">
        <f t="shared" si="6"/>
        <v/>
      </c>
    </row>
    <row r="323" spans="6:6">
      <c r="F323" s="8" t="str">
        <f t="shared" si="6"/>
        <v/>
      </c>
    </row>
    <row r="324" spans="6:6">
      <c r="F324" s="8" t="str">
        <f t="shared" si="6"/>
        <v/>
      </c>
    </row>
    <row r="325" spans="6:6">
      <c r="F325" s="8" t="str">
        <f t="shared" si="6"/>
        <v/>
      </c>
    </row>
    <row r="326" spans="6:6">
      <c r="F326" s="8" t="str">
        <f t="shared" si="6"/>
        <v/>
      </c>
    </row>
    <row r="327" spans="6:6">
      <c r="F327" s="8" t="str">
        <f t="shared" si="6"/>
        <v/>
      </c>
    </row>
    <row r="328" spans="6:6">
      <c r="F328" s="8" t="str">
        <f t="shared" si="6"/>
        <v/>
      </c>
    </row>
    <row r="329" spans="6:6">
      <c r="F329" s="8" t="str">
        <f t="shared" si="6"/>
        <v/>
      </c>
    </row>
    <row r="330" spans="6:6">
      <c r="F330" s="8" t="str">
        <f t="shared" si="6"/>
        <v/>
      </c>
    </row>
    <row r="331" spans="6:6">
      <c r="F331" s="8" t="str">
        <f t="shared" si="6"/>
        <v/>
      </c>
    </row>
    <row r="332" spans="6:6">
      <c r="F332" s="8" t="str">
        <f t="shared" si="6"/>
        <v/>
      </c>
    </row>
    <row r="333" spans="6:6">
      <c r="F333" s="8" t="str">
        <f t="shared" si="6"/>
        <v/>
      </c>
    </row>
    <row r="334" spans="6:6">
      <c r="F334" s="8" t="str">
        <f t="shared" si="6"/>
        <v/>
      </c>
    </row>
    <row r="335" spans="6:6">
      <c r="F335" s="8" t="str">
        <f t="shared" si="6"/>
        <v/>
      </c>
    </row>
    <row r="336" spans="6:6">
      <c r="F336" s="8" t="str">
        <f t="shared" si="6"/>
        <v/>
      </c>
    </row>
    <row r="337" spans="6:6">
      <c r="F337" s="8" t="str">
        <f t="shared" si="6"/>
        <v/>
      </c>
    </row>
    <row r="338" spans="6:6">
      <c r="F338" s="8" t="str">
        <f t="shared" ref="F338:F397" si="7">IFERROR(E338/D338-1,"")</f>
        <v/>
      </c>
    </row>
    <row r="339" spans="6:6">
      <c r="F339" s="8" t="str">
        <f t="shared" si="7"/>
        <v/>
      </c>
    </row>
    <row r="340" spans="6:6">
      <c r="F340" s="8" t="str">
        <f t="shared" si="7"/>
        <v/>
      </c>
    </row>
    <row r="341" spans="6:6">
      <c r="F341" s="8" t="str">
        <f t="shared" si="7"/>
        <v/>
      </c>
    </row>
    <row r="342" spans="6:6">
      <c r="F342" s="8" t="str">
        <f t="shared" si="7"/>
        <v/>
      </c>
    </row>
    <row r="343" spans="6:6">
      <c r="F343" s="8" t="str">
        <f t="shared" si="7"/>
        <v/>
      </c>
    </row>
    <row r="344" spans="6:6">
      <c r="F344" s="8" t="str">
        <f t="shared" si="7"/>
        <v/>
      </c>
    </row>
    <row r="345" spans="6:6">
      <c r="F345" s="8" t="str">
        <f t="shared" si="7"/>
        <v/>
      </c>
    </row>
    <row r="346" spans="6:6">
      <c r="F346" s="8" t="str">
        <f t="shared" si="7"/>
        <v/>
      </c>
    </row>
    <row r="347" spans="6:6">
      <c r="F347" s="8" t="str">
        <f t="shared" si="7"/>
        <v/>
      </c>
    </row>
    <row r="348" spans="6:6">
      <c r="F348" s="8" t="str">
        <f t="shared" si="7"/>
        <v/>
      </c>
    </row>
    <row r="349" spans="6:6">
      <c r="F349" s="8" t="str">
        <f t="shared" si="7"/>
        <v/>
      </c>
    </row>
    <row r="350" spans="6:6">
      <c r="F350" s="8" t="str">
        <f t="shared" si="7"/>
        <v/>
      </c>
    </row>
    <row r="351" spans="6:6">
      <c r="F351" s="8" t="str">
        <f t="shared" si="7"/>
        <v/>
      </c>
    </row>
    <row r="352" spans="6:6">
      <c r="F352" s="8" t="str">
        <f t="shared" si="7"/>
        <v/>
      </c>
    </row>
    <row r="353" spans="6:6">
      <c r="F353" s="8" t="str">
        <f t="shared" si="7"/>
        <v/>
      </c>
    </row>
    <row r="354" spans="6:6">
      <c r="F354" s="8" t="str">
        <f t="shared" si="7"/>
        <v/>
      </c>
    </row>
    <row r="355" spans="6:6">
      <c r="F355" s="8" t="str">
        <f t="shared" si="7"/>
        <v/>
      </c>
    </row>
    <row r="356" spans="6:6">
      <c r="F356" s="8" t="str">
        <f t="shared" si="7"/>
        <v/>
      </c>
    </row>
    <row r="357" spans="6:6">
      <c r="F357" s="8" t="str">
        <f t="shared" si="7"/>
        <v/>
      </c>
    </row>
    <row r="358" spans="6:6">
      <c r="F358" s="8" t="str">
        <f t="shared" si="7"/>
        <v/>
      </c>
    </row>
    <row r="359" spans="6:6">
      <c r="F359" s="8" t="str">
        <f t="shared" si="7"/>
        <v/>
      </c>
    </row>
    <row r="360" spans="6:6">
      <c r="F360" s="8" t="str">
        <f t="shared" si="7"/>
        <v/>
      </c>
    </row>
    <row r="361" spans="6:6">
      <c r="F361" s="8" t="str">
        <f t="shared" si="7"/>
        <v/>
      </c>
    </row>
    <row r="362" spans="6:6">
      <c r="F362" s="8" t="str">
        <f t="shared" si="7"/>
        <v/>
      </c>
    </row>
    <row r="363" spans="6:6">
      <c r="F363" s="8" t="str">
        <f t="shared" si="7"/>
        <v/>
      </c>
    </row>
    <row r="364" spans="6:6">
      <c r="F364" s="8" t="str">
        <f t="shared" si="7"/>
        <v/>
      </c>
    </row>
    <row r="365" spans="6:6">
      <c r="F365" s="8" t="str">
        <f t="shared" si="7"/>
        <v/>
      </c>
    </row>
    <row r="366" spans="6:6">
      <c r="F366" s="8" t="str">
        <f t="shared" si="7"/>
        <v/>
      </c>
    </row>
    <row r="367" spans="6:6">
      <c r="F367" s="8" t="str">
        <f t="shared" si="7"/>
        <v/>
      </c>
    </row>
    <row r="368" spans="6:6">
      <c r="F368" s="8" t="str">
        <f t="shared" si="7"/>
        <v/>
      </c>
    </row>
    <row r="369" spans="6:6">
      <c r="F369" s="8" t="str">
        <f t="shared" si="7"/>
        <v/>
      </c>
    </row>
    <row r="370" spans="6:6">
      <c r="F370" s="8" t="str">
        <f t="shared" si="7"/>
        <v/>
      </c>
    </row>
    <row r="371" spans="6:6">
      <c r="F371" s="8" t="str">
        <f t="shared" si="7"/>
        <v/>
      </c>
    </row>
    <row r="372" spans="6:6">
      <c r="F372" s="8" t="str">
        <f t="shared" si="7"/>
        <v/>
      </c>
    </row>
    <row r="373" spans="6:6">
      <c r="F373" s="8" t="str">
        <f t="shared" si="7"/>
        <v/>
      </c>
    </row>
    <row r="374" spans="6:6">
      <c r="F374" s="8" t="str">
        <f t="shared" si="7"/>
        <v/>
      </c>
    </row>
    <row r="375" spans="6:6">
      <c r="F375" s="8" t="str">
        <f t="shared" si="7"/>
        <v/>
      </c>
    </row>
    <row r="376" spans="6:6">
      <c r="F376" s="8" t="str">
        <f t="shared" si="7"/>
        <v/>
      </c>
    </row>
    <row r="377" spans="6:6">
      <c r="F377" s="8" t="str">
        <f t="shared" si="7"/>
        <v/>
      </c>
    </row>
    <row r="378" spans="6:6">
      <c r="F378" s="8" t="str">
        <f t="shared" si="7"/>
        <v/>
      </c>
    </row>
    <row r="379" spans="6:6">
      <c r="F379" s="8" t="str">
        <f t="shared" si="7"/>
        <v/>
      </c>
    </row>
    <row r="380" spans="6:6">
      <c r="F380" s="8" t="str">
        <f t="shared" si="7"/>
        <v/>
      </c>
    </row>
    <row r="381" spans="6:6">
      <c r="F381" s="8" t="str">
        <f t="shared" si="7"/>
        <v/>
      </c>
    </row>
    <row r="382" spans="6:6">
      <c r="F382" s="8" t="str">
        <f t="shared" si="7"/>
        <v/>
      </c>
    </row>
    <row r="383" spans="6:6">
      <c r="F383" s="8" t="str">
        <f t="shared" si="7"/>
        <v/>
      </c>
    </row>
    <row r="384" spans="6:6">
      <c r="F384" s="8" t="str">
        <f t="shared" si="7"/>
        <v/>
      </c>
    </row>
    <row r="385" spans="6:6">
      <c r="F385" s="8" t="str">
        <f t="shared" si="7"/>
        <v/>
      </c>
    </row>
    <row r="386" spans="6:6">
      <c r="F386" s="8" t="str">
        <f t="shared" si="7"/>
        <v/>
      </c>
    </row>
    <row r="387" spans="6:6">
      <c r="F387" s="8" t="str">
        <f t="shared" si="7"/>
        <v/>
      </c>
    </row>
    <row r="388" spans="6:6">
      <c r="F388" s="8" t="str">
        <f t="shared" si="7"/>
        <v/>
      </c>
    </row>
    <row r="389" spans="6:6">
      <c r="F389" s="8" t="str">
        <f t="shared" si="7"/>
        <v/>
      </c>
    </row>
    <row r="390" spans="6:6">
      <c r="F390" s="8" t="str">
        <f t="shared" si="7"/>
        <v/>
      </c>
    </row>
    <row r="391" spans="6:6">
      <c r="F391" s="8" t="str">
        <f t="shared" si="7"/>
        <v/>
      </c>
    </row>
    <row r="392" spans="6:6">
      <c r="F392" s="8" t="str">
        <f t="shared" si="7"/>
        <v/>
      </c>
    </row>
    <row r="393" spans="6:6">
      <c r="F393" s="8" t="str">
        <f t="shared" si="7"/>
        <v/>
      </c>
    </row>
    <row r="394" spans="6:6">
      <c r="F394" s="8" t="str">
        <f t="shared" si="7"/>
        <v/>
      </c>
    </row>
    <row r="395" spans="6:6">
      <c r="F395" s="8" t="str">
        <f t="shared" si="7"/>
        <v/>
      </c>
    </row>
    <row r="396" spans="6:6">
      <c r="F396" s="8" t="str">
        <f t="shared" si="7"/>
        <v/>
      </c>
    </row>
    <row r="397" spans="6:6">
      <c r="F397" s="8" t="str">
        <f t="shared" si="7"/>
        <v/>
      </c>
    </row>
    <row r="398" spans="6:6">
      <c r="F398" s="11" t="str">
        <f t="shared" ref="F398:F461" si="8">IFERROR(E398/D398,"")</f>
        <v/>
      </c>
    </row>
    <row r="399" spans="6:6">
      <c r="F399" s="11" t="str">
        <f t="shared" si="8"/>
        <v/>
      </c>
    </row>
    <row r="400" spans="6:6">
      <c r="F400" s="11" t="str">
        <f t="shared" si="8"/>
        <v/>
      </c>
    </row>
    <row r="401" spans="6:6">
      <c r="F401" s="11" t="str">
        <f t="shared" si="8"/>
        <v/>
      </c>
    </row>
    <row r="402" spans="6:6">
      <c r="F402" s="11" t="str">
        <f t="shared" si="8"/>
        <v/>
      </c>
    </row>
    <row r="403" spans="6:6">
      <c r="F403" s="11" t="str">
        <f t="shared" si="8"/>
        <v/>
      </c>
    </row>
    <row r="404" spans="6:6">
      <c r="F404" s="11" t="str">
        <f t="shared" si="8"/>
        <v/>
      </c>
    </row>
    <row r="405" spans="6:6">
      <c r="F405" s="11" t="str">
        <f t="shared" si="8"/>
        <v/>
      </c>
    </row>
    <row r="406" spans="6:6">
      <c r="F406" s="11" t="str">
        <f t="shared" si="8"/>
        <v/>
      </c>
    </row>
    <row r="407" spans="6:6">
      <c r="F407" s="11" t="str">
        <f t="shared" si="8"/>
        <v/>
      </c>
    </row>
    <row r="408" spans="6:6">
      <c r="F408" s="11" t="str">
        <f t="shared" si="8"/>
        <v/>
      </c>
    </row>
    <row r="409" spans="6:6">
      <c r="F409" s="11" t="str">
        <f t="shared" si="8"/>
        <v/>
      </c>
    </row>
    <row r="410" spans="6:6">
      <c r="F410" s="11" t="str">
        <f t="shared" si="8"/>
        <v/>
      </c>
    </row>
    <row r="411" spans="6:6">
      <c r="F411" s="11" t="str">
        <f t="shared" si="8"/>
        <v/>
      </c>
    </row>
    <row r="412" spans="6:6">
      <c r="F412" s="11" t="str">
        <f t="shared" si="8"/>
        <v/>
      </c>
    </row>
    <row r="413" spans="6:6">
      <c r="F413" s="11" t="str">
        <f t="shared" si="8"/>
        <v/>
      </c>
    </row>
    <row r="414" spans="6:6">
      <c r="F414" s="11" t="str">
        <f t="shared" si="8"/>
        <v/>
      </c>
    </row>
    <row r="415" spans="6:6">
      <c r="F415" s="11" t="str">
        <f t="shared" si="8"/>
        <v/>
      </c>
    </row>
    <row r="416" spans="6:6">
      <c r="F416" s="11" t="str">
        <f t="shared" si="8"/>
        <v/>
      </c>
    </row>
    <row r="417" spans="6:6">
      <c r="F417" s="11" t="str">
        <f t="shared" si="8"/>
        <v/>
      </c>
    </row>
    <row r="418" spans="6:6">
      <c r="F418" s="11" t="str">
        <f t="shared" si="8"/>
        <v/>
      </c>
    </row>
    <row r="419" spans="6:6">
      <c r="F419" s="11" t="str">
        <f t="shared" si="8"/>
        <v/>
      </c>
    </row>
    <row r="420" spans="6:6">
      <c r="F420" s="11" t="str">
        <f t="shared" si="8"/>
        <v/>
      </c>
    </row>
    <row r="421" spans="6:6">
      <c r="F421" s="11" t="str">
        <f t="shared" si="8"/>
        <v/>
      </c>
    </row>
    <row r="422" spans="6:6">
      <c r="F422" s="11" t="str">
        <f t="shared" si="8"/>
        <v/>
      </c>
    </row>
    <row r="423" spans="6:6">
      <c r="F423" s="11" t="str">
        <f t="shared" si="8"/>
        <v/>
      </c>
    </row>
    <row r="424" spans="6:6">
      <c r="F424" s="11" t="str">
        <f t="shared" si="8"/>
        <v/>
      </c>
    </row>
    <row r="425" spans="6:6">
      <c r="F425" s="11" t="str">
        <f t="shared" si="8"/>
        <v/>
      </c>
    </row>
    <row r="426" spans="6:6">
      <c r="F426" s="11" t="str">
        <f t="shared" si="8"/>
        <v/>
      </c>
    </row>
    <row r="427" spans="6:6">
      <c r="F427" s="11" t="str">
        <f t="shared" si="8"/>
        <v/>
      </c>
    </row>
    <row r="428" spans="6:6">
      <c r="F428" s="11" t="str">
        <f t="shared" si="8"/>
        <v/>
      </c>
    </row>
    <row r="429" spans="6:6">
      <c r="F429" s="11" t="str">
        <f t="shared" si="8"/>
        <v/>
      </c>
    </row>
    <row r="430" spans="6:6">
      <c r="F430" s="11" t="str">
        <f t="shared" si="8"/>
        <v/>
      </c>
    </row>
    <row r="431" spans="6:6">
      <c r="F431" s="11" t="str">
        <f t="shared" si="8"/>
        <v/>
      </c>
    </row>
    <row r="432" spans="6:6">
      <c r="F432" s="11" t="str">
        <f t="shared" si="8"/>
        <v/>
      </c>
    </row>
    <row r="433" spans="6:6">
      <c r="F433" s="11" t="str">
        <f t="shared" si="8"/>
        <v/>
      </c>
    </row>
    <row r="434" spans="6:6">
      <c r="F434" s="11" t="str">
        <f t="shared" si="8"/>
        <v/>
      </c>
    </row>
    <row r="435" spans="6:6">
      <c r="F435" s="11" t="str">
        <f t="shared" si="8"/>
        <v/>
      </c>
    </row>
    <row r="436" spans="6:6">
      <c r="F436" s="11" t="str">
        <f t="shared" si="8"/>
        <v/>
      </c>
    </row>
    <row r="437" spans="6:6">
      <c r="F437" s="11" t="str">
        <f t="shared" si="8"/>
        <v/>
      </c>
    </row>
    <row r="438" spans="6:6">
      <c r="F438" s="11" t="str">
        <f t="shared" si="8"/>
        <v/>
      </c>
    </row>
    <row r="439" spans="6:6">
      <c r="F439" s="11" t="str">
        <f t="shared" si="8"/>
        <v/>
      </c>
    </row>
    <row r="440" spans="6:6">
      <c r="F440" s="11" t="str">
        <f t="shared" si="8"/>
        <v/>
      </c>
    </row>
    <row r="441" spans="6:6">
      <c r="F441" s="11" t="str">
        <f t="shared" si="8"/>
        <v/>
      </c>
    </row>
    <row r="442" spans="6:6">
      <c r="F442" s="11" t="str">
        <f t="shared" si="8"/>
        <v/>
      </c>
    </row>
    <row r="443" spans="6:6">
      <c r="F443" s="11" t="str">
        <f t="shared" si="8"/>
        <v/>
      </c>
    </row>
    <row r="444" spans="6:6">
      <c r="F444" s="11" t="str">
        <f t="shared" si="8"/>
        <v/>
      </c>
    </row>
    <row r="445" spans="6:6">
      <c r="F445" s="11" t="str">
        <f t="shared" si="8"/>
        <v/>
      </c>
    </row>
    <row r="446" spans="6:6">
      <c r="F446" s="11" t="str">
        <f t="shared" si="8"/>
        <v/>
      </c>
    </row>
    <row r="447" spans="6:6">
      <c r="F447" s="11" t="str">
        <f t="shared" si="8"/>
        <v/>
      </c>
    </row>
    <row r="448" spans="6:6">
      <c r="F448" s="11" t="str">
        <f t="shared" si="8"/>
        <v/>
      </c>
    </row>
    <row r="449" spans="6:6">
      <c r="F449" s="11" t="str">
        <f t="shared" si="8"/>
        <v/>
      </c>
    </row>
    <row r="450" spans="6:6">
      <c r="F450" s="11" t="str">
        <f t="shared" si="8"/>
        <v/>
      </c>
    </row>
    <row r="451" spans="6:6">
      <c r="F451" s="11" t="str">
        <f t="shared" si="8"/>
        <v/>
      </c>
    </row>
    <row r="452" spans="6:6">
      <c r="F452" s="11" t="str">
        <f t="shared" si="8"/>
        <v/>
      </c>
    </row>
    <row r="453" spans="6:6">
      <c r="F453" s="11" t="str">
        <f t="shared" si="8"/>
        <v/>
      </c>
    </row>
    <row r="454" spans="6:6">
      <c r="F454" s="11" t="str">
        <f t="shared" si="8"/>
        <v/>
      </c>
    </row>
    <row r="455" spans="6:6">
      <c r="F455" s="11" t="str">
        <f t="shared" si="8"/>
        <v/>
      </c>
    </row>
    <row r="456" spans="6:6">
      <c r="F456" s="11" t="str">
        <f t="shared" si="8"/>
        <v/>
      </c>
    </row>
    <row r="457" spans="6:6">
      <c r="F457" s="11" t="str">
        <f t="shared" si="8"/>
        <v/>
      </c>
    </row>
    <row r="458" spans="6:6">
      <c r="F458" s="11" t="str">
        <f t="shared" si="8"/>
        <v/>
      </c>
    </row>
    <row r="459" spans="6:6">
      <c r="F459" s="11" t="str">
        <f t="shared" si="8"/>
        <v/>
      </c>
    </row>
    <row r="460" spans="6:6">
      <c r="F460" s="11" t="str">
        <f t="shared" si="8"/>
        <v/>
      </c>
    </row>
    <row r="461" spans="6:6">
      <c r="F461" s="11" t="str">
        <f t="shared" si="8"/>
        <v/>
      </c>
    </row>
    <row r="462" spans="6:6">
      <c r="F462" s="11" t="str">
        <f t="shared" ref="F462:F525" si="9">IFERROR(E462/D462,"")</f>
        <v/>
      </c>
    </row>
    <row r="463" spans="6:6">
      <c r="F463" s="11" t="str">
        <f t="shared" si="9"/>
        <v/>
      </c>
    </row>
    <row r="464" spans="6:6">
      <c r="F464" s="11" t="str">
        <f t="shared" si="9"/>
        <v/>
      </c>
    </row>
    <row r="465" spans="6:6">
      <c r="F465" s="11" t="str">
        <f t="shared" si="9"/>
        <v/>
      </c>
    </row>
    <row r="466" spans="6:6">
      <c r="F466" s="11" t="str">
        <f t="shared" si="9"/>
        <v/>
      </c>
    </row>
    <row r="467" spans="6:6">
      <c r="F467" s="11" t="str">
        <f t="shared" si="9"/>
        <v/>
      </c>
    </row>
    <row r="468" spans="6:6">
      <c r="F468" s="11" t="str">
        <f t="shared" si="9"/>
        <v/>
      </c>
    </row>
    <row r="469" spans="6:6">
      <c r="F469" s="11" t="str">
        <f t="shared" si="9"/>
        <v/>
      </c>
    </row>
    <row r="470" spans="6:6">
      <c r="F470" s="11" t="str">
        <f t="shared" si="9"/>
        <v/>
      </c>
    </row>
    <row r="471" spans="6:6">
      <c r="F471" s="11" t="str">
        <f t="shared" si="9"/>
        <v/>
      </c>
    </row>
    <row r="472" spans="6:6">
      <c r="F472" s="11" t="str">
        <f t="shared" si="9"/>
        <v/>
      </c>
    </row>
    <row r="473" spans="6:6">
      <c r="F473" s="11" t="str">
        <f t="shared" si="9"/>
        <v/>
      </c>
    </row>
    <row r="474" spans="6:6">
      <c r="F474" s="11" t="str">
        <f t="shared" si="9"/>
        <v/>
      </c>
    </row>
    <row r="475" spans="6:6">
      <c r="F475" s="11" t="str">
        <f t="shared" si="9"/>
        <v/>
      </c>
    </row>
    <row r="476" spans="6:6">
      <c r="F476" s="11" t="str">
        <f t="shared" si="9"/>
        <v/>
      </c>
    </row>
    <row r="477" spans="6:6">
      <c r="F477" s="11" t="str">
        <f t="shared" si="9"/>
        <v/>
      </c>
    </row>
    <row r="478" spans="6:6">
      <c r="F478" s="11" t="str">
        <f t="shared" si="9"/>
        <v/>
      </c>
    </row>
    <row r="479" spans="6:6">
      <c r="F479" s="11" t="str">
        <f t="shared" si="9"/>
        <v/>
      </c>
    </row>
    <row r="480" spans="6:6">
      <c r="F480" s="11" t="str">
        <f t="shared" si="9"/>
        <v/>
      </c>
    </row>
    <row r="481" spans="6:6">
      <c r="F481" s="11" t="str">
        <f t="shared" si="9"/>
        <v/>
      </c>
    </row>
    <row r="482" spans="6:6">
      <c r="F482" s="11" t="str">
        <f t="shared" si="9"/>
        <v/>
      </c>
    </row>
    <row r="483" spans="6:6">
      <c r="F483" s="11" t="str">
        <f t="shared" si="9"/>
        <v/>
      </c>
    </row>
    <row r="484" spans="6:6">
      <c r="F484" s="11" t="str">
        <f t="shared" si="9"/>
        <v/>
      </c>
    </row>
    <row r="485" spans="6:6">
      <c r="F485" s="11" t="str">
        <f t="shared" si="9"/>
        <v/>
      </c>
    </row>
    <row r="486" spans="6:6">
      <c r="F486" s="11" t="str">
        <f t="shared" si="9"/>
        <v/>
      </c>
    </row>
    <row r="487" spans="6:6">
      <c r="F487" s="11" t="str">
        <f t="shared" si="9"/>
        <v/>
      </c>
    </row>
    <row r="488" spans="6:6">
      <c r="F488" s="11" t="str">
        <f t="shared" si="9"/>
        <v/>
      </c>
    </row>
    <row r="489" spans="6:6">
      <c r="F489" s="11" t="str">
        <f t="shared" si="9"/>
        <v/>
      </c>
    </row>
    <row r="490" spans="6:6">
      <c r="F490" s="11" t="str">
        <f t="shared" si="9"/>
        <v/>
      </c>
    </row>
    <row r="491" spans="6:6">
      <c r="F491" s="11" t="str">
        <f t="shared" si="9"/>
        <v/>
      </c>
    </row>
    <row r="492" spans="6:6">
      <c r="F492" s="11" t="str">
        <f t="shared" si="9"/>
        <v/>
      </c>
    </row>
    <row r="493" spans="6:6">
      <c r="F493" s="11" t="str">
        <f t="shared" si="9"/>
        <v/>
      </c>
    </row>
    <row r="494" spans="6:6">
      <c r="F494" s="11" t="str">
        <f t="shared" si="9"/>
        <v/>
      </c>
    </row>
    <row r="495" spans="6:6">
      <c r="F495" s="11" t="str">
        <f t="shared" si="9"/>
        <v/>
      </c>
    </row>
    <row r="496" spans="6:6">
      <c r="F496" s="11" t="str">
        <f t="shared" si="9"/>
        <v/>
      </c>
    </row>
    <row r="497" spans="6:6">
      <c r="F497" s="11" t="str">
        <f t="shared" si="9"/>
        <v/>
      </c>
    </row>
    <row r="498" spans="6:6">
      <c r="F498" s="11" t="str">
        <f t="shared" si="9"/>
        <v/>
      </c>
    </row>
    <row r="499" spans="6:6">
      <c r="F499" s="11" t="str">
        <f t="shared" si="9"/>
        <v/>
      </c>
    </row>
    <row r="500" spans="6:6">
      <c r="F500" s="11" t="str">
        <f t="shared" si="9"/>
        <v/>
      </c>
    </row>
    <row r="501" spans="6:6">
      <c r="F501" s="11" t="str">
        <f t="shared" si="9"/>
        <v/>
      </c>
    </row>
    <row r="502" spans="6:6">
      <c r="F502" s="11" t="str">
        <f t="shared" si="9"/>
        <v/>
      </c>
    </row>
    <row r="503" spans="6:6">
      <c r="F503" s="11" t="str">
        <f t="shared" si="9"/>
        <v/>
      </c>
    </row>
    <row r="504" spans="6:6">
      <c r="F504" s="11" t="str">
        <f t="shared" si="9"/>
        <v/>
      </c>
    </row>
    <row r="505" spans="6:6">
      <c r="F505" s="11" t="str">
        <f t="shared" si="9"/>
        <v/>
      </c>
    </row>
    <row r="506" spans="6:6">
      <c r="F506" s="11" t="str">
        <f t="shared" si="9"/>
        <v/>
      </c>
    </row>
    <row r="507" spans="6:6">
      <c r="F507" s="11" t="str">
        <f t="shared" si="9"/>
        <v/>
      </c>
    </row>
    <row r="508" spans="6:6">
      <c r="F508" s="11" t="str">
        <f t="shared" si="9"/>
        <v/>
      </c>
    </row>
    <row r="509" spans="6:6">
      <c r="F509" s="11" t="str">
        <f t="shared" si="9"/>
        <v/>
      </c>
    </row>
    <row r="510" spans="6:6">
      <c r="F510" s="11" t="str">
        <f t="shared" si="9"/>
        <v/>
      </c>
    </row>
    <row r="511" spans="6:6">
      <c r="F511" s="11" t="str">
        <f t="shared" si="9"/>
        <v/>
      </c>
    </row>
    <row r="512" spans="6:6">
      <c r="F512" s="11" t="str">
        <f t="shared" si="9"/>
        <v/>
      </c>
    </row>
    <row r="513" spans="6:6">
      <c r="F513" s="11" t="str">
        <f t="shared" si="9"/>
        <v/>
      </c>
    </row>
    <row r="514" spans="6:6">
      <c r="F514" s="11" t="str">
        <f t="shared" si="9"/>
        <v/>
      </c>
    </row>
    <row r="515" spans="6:6">
      <c r="F515" s="11" t="str">
        <f t="shared" si="9"/>
        <v/>
      </c>
    </row>
    <row r="516" spans="6:6">
      <c r="F516" s="11" t="str">
        <f t="shared" si="9"/>
        <v/>
      </c>
    </row>
    <row r="517" spans="6:6">
      <c r="F517" s="11" t="str">
        <f t="shared" si="9"/>
        <v/>
      </c>
    </row>
    <row r="518" spans="6:6">
      <c r="F518" s="11" t="str">
        <f t="shared" si="9"/>
        <v/>
      </c>
    </row>
    <row r="519" spans="6:6">
      <c r="F519" s="11" t="str">
        <f t="shared" si="9"/>
        <v/>
      </c>
    </row>
    <row r="520" spans="6:6">
      <c r="F520" s="11" t="str">
        <f t="shared" si="9"/>
        <v/>
      </c>
    </row>
    <row r="521" spans="6:6">
      <c r="F521" s="11" t="str">
        <f t="shared" si="9"/>
        <v/>
      </c>
    </row>
    <row r="522" spans="6:6">
      <c r="F522" s="11" t="str">
        <f t="shared" si="9"/>
        <v/>
      </c>
    </row>
    <row r="523" spans="6:6">
      <c r="F523" s="11" t="str">
        <f t="shared" si="9"/>
        <v/>
      </c>
    </row>
    <row r="524" spans="6:6">
      <c r="F524" s="11" t="str">
        <f t="shared" si="9"/>
        <v/>
      </c>
    </row>
    <row r="525" spans="6:6">
      <c r="F525" s="11" t="str">
        <f t="shared" si="9"/>
        <v/>
      </c>
    </row>
    <row r="526" spans="6:6">
      <c r="F526" s="11" t="str">
        <f t="shared" ref="F526:F533" si="10">IFERROR(E526/D526,"")</f>
        <v/>
      </c>
    </row>
    <row r="527" spans="6:6">
      <c r="F527" s="11" t="str">
        <f t="shared" si="10"/>
        <v/>
      </c>
    </row>
    <row r="528" spans="6:6">
      <c r="F528" s="11" t="str">
        <f t="shared" si="10"/>
        <v/>
      </c>
    </row>
    <row r="529" spans="6:6">
      <c r="F529" s="11" t="str">
        <f t="shared" si="10"/>
        <v/>
      </c>
    </row>
    <row r="530" spans="6:6">
      <c r="F530" s="11" t="str">
        <f t="shared" si="10"/>
        <v/>
      </c>
    </row>
    <row r="531" spans="6:6">
      <c r="F531" s="11" t="str">
        <f t="shared" si="10"/>
        <v/>
      </c>
    </row>
    <row r="532" spans="6:6">
      <c r="F532" s="11" t="str">
        <f t="shared" si="10"/>
        <v/>
      </c>
    </row>
    <row r="533" spans="6:6">
      <c r="F533" s="11" t="str">
        <f t="shared" si="10"/>
        <v/>
      </c>
    </row>
  </sheetData>
  <conditionalFormatting sqref="F17:F19 F33:F35 F49:F50 F53:F397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{54964B67-C258-49AB-98A8-C504169D35C1}</x14:id>
        </ext>
      </extLst>
    </cfRule>
  </conditionalFormatting>
  <conditionalFormatting pivot="1">
    <cfRule type="colorScale" priority="27">
      <colorScale>
        <cfvo type="min"/>
        <cfvo type="percentile" val="50"/>
        <cfvo type="max"/>
        <color theme="7" tint="0.79998168889431442"/>
        <color rgb="FFFFEB84"/>
        <color theme="7" tint="-0.499984740745262"/>
      </colorScale>
    </cfRule>
  </conditionalFormatting>
  <conditionalFormatting pivot="1">
    <cfRule type="colorScale" priority="26">
      <colorScale>
        <cfvo type="min"/>
        <cfvo type="percentile" val="50"/>
        <cfvo type="max"/>
        <color theme="7" tint="0.79998168889431442"/>
        <color rgb="FFFFEB84"/>
        <color theme="7" tint="-0.499984740745262"/>
      </colorScale>
    </cfRule>
  </conditionalFormatting>
  <conditionalFormatting pivot="1">
    <cfRule type="colorScale" priority="25">
      <colorScale>
        <cfvo type="min"/>
        <cfvo type="percentile" val="50"/>
        <cfvo type="max"/>
        <color theme="7" tint="0.79998168889431442"/>
        <color rgb="FFFFEB84"/>
        <color theme="7" tint="-0.499984740745262"/>
      </colorScale>
    </cfRule>
  </conditionalFormatting>
  <conditionalFormatting pivot="1">
    <cfRule type="colorScale" priority="24">
      <colorScale>
        <cfvo type="min"/>
        <cfvo type="percentile" val="50"/>
        <cfvo type="max"/>
        <color theme="7" tint="0.79998168889431442"/>
        <color rgb="FFFFEB84"/>
        <color theme="7" tint="-0.499984740745262"/>
      </colorScale>
    </cfRule>
  </conditionalFormatting>
  <conditionalFormatting sqref="C51:O51">
    <cfRule type="colorScale" priority="3">
      <colorScale>
        <cfvo type="min"/>
        <cfvo type="percentile" val="50"/>
        <cfvo type="max"/>
        <color theme="5" tint="0.79998168889431442"/>
        <color theme="5" tint="0.39997558519241921"/>
        <color theme="5" tint="-0.499984740745262"/>
      </colorScale>
    </cfRule>
    <cfRule type="colorScale" priority="23">
      <colorScale>
        <cfvo type="min"/>
        <cfvo type="percentile" val="50"/>
        <cfvo type="max"/>
        <color theme="7" tint="0.79998168889431442"/>
        <color rgb="FFFFEB84"/>
        <color theme="7" tint="-0.499984740745262"/>
      </colorScale>
    </cfRule>
  </conditionalFormatting>
  <conditionalFormatting pivot="1" sqref="C13:N13">
    <cfRule type="colorScale" priority="22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pivot="1" sqref="C14:N14">
    <cfRule type="colorScale" priority="21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pivot="1" sqref="C15:N15">
    <cfRule type="colorScale" priority="20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E10:Q10">
    <cfRule type="colorScale" priority="19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pivot="1" sqref="C16:N16">
    <cfRule type="colorScale" priority="18">
      <colorScale>
        <cfvo type="min"/>
        <cfvo type="percentile" val="50"/>
        <cfvo type="max"/>
        <color theme="5" tint="0.79998168889431442"/>
        <color theme="5" tint="0.39997558519241921"/>
        <color theme="5" tint="-0.499984740745262"/>
      </colorScale>
    </cfRule>
  </conditionalFormatting>
  <conditionalFormatting pivot="1">
    <cfRule type="colorScale" priority="17">
      <colorScale>
        <cfvo type="min"/>
        <cfvo type="percentile" val="50"/>
        <cfvo type="max"/>
        <color theme="5" tint="0.79998168889431442"/>
        <color theme="5" tint="0.39997558519241921"/>
        <color theme="5" tint="-0.499984740745262"/>
      </colorScale>
    </cfRule>
  </conditionalFormatting>
  <conditionalFormatting pivot="1">
    <cfRule type="colorScale" priority="16">
      <colorScale>
        <cfvo type="min"/>
        <cfvo type="percentile" val="50"/>
        <cfvo type="max"/>
        <color theme="7" tint="0.79998168889431442"/>
        <color rgb="FFFFEB84"/>
        <color theme="7" tint="-0.499984740745262"/>
      </colorScale>
    </cfRule>
  </conditionalFormatting>
  <conditionalFormatting pivot="1">
    <cfRule type="colorScale" priority="15">
      <colorScale>
        <cfvo type="min"/>
        <cfvo type="percentile" val="50"/>
        <cfvo type="max"/>
        <color theme="5" tint="0.79998168889431442"/>
        <color theme="5" tint="0.39997558519241921"/>
        <color theme="5" tint="-0.499984740745262"/>
      </colorScale>
    </cfRule>
  </conditionalFormatting>
  <conditionalFormatting pivot="1">
    <cfRule type="colorScale" priority="14">
      <colorScale>
        <cfvo type="min"/>
        <cfvo type="percentile" val="50"/>
        <cfvo type="max"/>
        <color theme="7" tint="0.79998168889431442"/>
        <color rgb="FFFFEB84"/>
        <color theme="7" tint="-0.499984740745262"/>
      </colorScale>
    </cfRule>
  </conditionalFormatting>
  <conditionalFormatting pivot="1">
    <cfRule type="colorScale" priority="13">
      <colorScale>
        <cfvo type="min"/>
        <cfvo type="percentile" val="50"/>
        <cfvo type="max"/>
        <color theme="5" tint="0.79998168889431442"/>
        <color theme="5" tint="0.39997558519241921"/>
        <color theme="5" tint="-0.499984740745262"/>
      </colorScale>
    </cfRule>
  </conditionalFormatting>
  <conditionalFormatting pivot="1">
    <cfRule type="colorScale" priority="12">
      <colorScale>
        <cfvo type="min"/>
        <cfvo type="percentile" val="50"/>
        <cfvo type="max"/>
        <color theme="5" tint="0.79998168889431442"/>
        <color theme="5" tint="0.39997558519241921"/>
        <color theme="5" tint="-0.499984740745262"/>
      </colorScale>
    </cfRule>
  </conditionalFormatting>
  <conditionalFormatting pivot="1">
    <cfRule type="colorScale" priority="11">
      <colorScale>
        <cfvo type="min"/>
        <cfvo type="percentile" val="50"/>
        <cfvo type="max"/>
        <color theme="5" tint="0.79998168889431442"/>
        <color theme="5" tint="0.39997558519241921"/>
        <color theme="5" tint="-0.499984740745262"/>
      </colorScale>
    </cfRule>
  </conditionalFormatting>
  <conditionalFormatting pivot="1">
    <cfRule type="colorScale" priority="10">
      <colorScale>
        <cfvo type="min"/>
        <cfvo type="percentile" val="50"/>
        <cfvo type="max"/>
        <color theme="7" tint="0.79998168889431442"/>
        <color rgb="FFFFEB84"/>
        <color theme="7" tint="-0.499984740745262"/>
      </colorScale>
    </cfRule>
  </conditionalFormatting>
  <conditionalFormatting pivot="1">
    <cfRule type="colorScale" priority="9">
      <colorScale>
        <cfvo type="min"/>
        <cfvo type="percentile" val="50"/>
        <cfvo type="max"/>
        <color theme="5" tint="0.79998168889431442"/>
        <color theme="5" tint="0.39997558519241921"/>
        <color theme="5" tint="-0.499984740745262"/>
      </colorScale>
    </cfRule>
  </conditionalFormatting>
  <conditionalFormatting pivot="1">
    <cfRule type="colorScale" priority="8">
      <colorScale>
        <cfvo type="min"/>
        <cfvo type="percentile" val="50"/>
        <cfvo type="max"/>
        <color theme="7" tint="0.79998168889431442"/>
        <color rgb="FFFFEB84"/>
        <color theme="7" tint="-0.499984740745262"/>
      </colorScale>
    </cfRule>
  </conditionalFormatting>
  <conditionalFormatting pivot="1">
    <cfRule type="colorScale" priority="7">
      <colorScale>
        <cfvo type="min"/>
        <cfvo type="percentile" val="50"/>
        <cfvo type="max"/>
        <color theme="5" tint="0.79998168889431442"/>
        <color theme="5" tint="0.39997558519241921"/>
        <color theme="5" tint="-0.499984740745262"/>
      </colorScale>
    </cfRule>
  </conditionalFormatting>
  <conditionalFormatting sqref="L41:W41">
    <cfRule type="colorScale" priority="6">
      <colorScale>
        <cfvo type="min"/>
        <cfvo type="percentile" val="50"/>
        <cfvo type="max"/>
        <color theme="7" tint="0.79998168889431442"/>
        <color rgb="FFFFEB84"/>
        <color theme="7" tint="-0.499984740745262"/>
      </colorScale>
    </cfRule>
  </conditionalFormatting>
  <conditionalFormatting sqref="L41:W41">
    <cfRule type="colorScale" priority="5">
      <colorScale>
        <cfvo type="min"/>
        <cfvo type="percentile" val="50"/>
        <cfvo type="max"/>
        <color theme="5" tint="0.79998168889431442"/>
        <color theme="5" tint="0.39997558519241921"/>
        <color theme="5" tint="-0.499984740745262"/>
      </colorScale>
    </cfRule>
  </conditionalFormatting>
  <conditionalFormatting pivot="1">
    <cfRule type="colorScale" priority="4">
      <colorScale>
        <cfvo type="min"/>
        <cfvo type="percentile" val="50"/>
        <cfvo type="max"/>
        <color theme="5" tint="0.79998168889431442"/>
        <color theme="5" tint="0.39997558519241921"/>
        <color theme="5" tint="-0.499984740745262"/>
      </colorScale>
    </cfRule>
  </conditionalFormatting>
  <conditionalFormatting sqref="C52:O52">
    <cfRule type="colorScale" priority="1">
      <colorScale>
        <cfvo type="min"/>
        <cfvo type="percentile" val="50"/>
        <cfvo type="max"/>
        <color theme="5" tint="0.79998168889431442"/>
        <color theme="5" tint="0.39997558519241921"/>
        <color theme="5" tint="-0.499984740745262"/>
      </colorScale>
    </cfRule>
    <cfRule type="colorScale" priority="2">
      <colorScale>
        <cfvo type="min"/>
        <cfvo type="percentile" val="50"/>
        <cfvo type="max"/>
        <color theme="7" tint="0.79998168889431442"/>
        <color rgb="FFFFEB84"/>
        <color theme="7" tint="-0.499984740745262"/>
      </colorScale>
    </cfRule>
  </conditionalFormatting>
  <pageMargins left="0.7" right="0.7" top="0.75" bottom="0.75" header="0.3" footer="0.3"/>
  <pageSetup orientation="landscape" r:id="rId4"/>
  <headerFooter>
    <oddHeader>&amp;L&amp;"-,Bold"&amp;22AtliQ Hardware&amp;R&amp;G</oddHeader>
  </headerFooter>
  <legacyDrawingHF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964B67-C258-49AB-98A8-C504169D35C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F17:F19 F33:F35 F49:F50 F53:F397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D27F0C-098D-4051-8E7E-FB97533879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 &amp; L 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aasmin khatoon</dc:creator>
  <cp:lastModifiedBy>aasmin khatoon</cp:lastModifiedBy>
  <dcterms:created xsi:type="dcterms:W3CDTF">2026-09-18T16:26:10Z</dcterms:created>
  <dcterms:modified xsi:type="dcterms:W3CDTF">2026-09-18T16:46:11Z</dcterms:modified>
</cp:coreProperties>
</file>